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_ME" sheetId="1" state="visible" r:id="rId3"/>
    <sheet name="ENTRADAS" sheetId="2" state="visible" r:id="rId4"/>
    <sheet name="CONTA" sheetId="3" state="visible" r:id="rId5"/>
    <sheet name="GERACAO" sheetId="4" state="visible" r:id="rId6"/>
    <sheet name="BYD" sheetId="5" state="visible" r:id="rId7"/>
    <sheet name="DIMENSIONAMENTO" sheetId="6" state="visible" r:id="rId8"/>
    <sheet name="COMPARATIVO" sheetId="7" state="visible" r:id="rId9"/>
    <sheet name="BOM_DETALHADO" sheetId="8" state="visible" r:id="rId10"/>
    <sheet name="ECONOMIA" sheetId="9" state="visible" r:id="rId11"/>
    <sheet name="PROJECAO" sheetId="10" state="visible" r:id="rId12"/>
    <sheet name="SIMULACAO_MENSAL" sheetId="11" state="visible" r:id="rId13"/>
    <sheet name="CHECKLIST" sheetId="12" state="visible" r:id="rId14"/>
    <sheet name="NOVOS_ORCAMENTO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<sst xmlns="http://schemas.openxmlformats.org/spreadsheetml/2006/main" count="1588" uniqueCount="1271">
  <si>
    <t xml:space="preserve">COMPARATIVO DE ORCAMENTOS - ENERGIA SOLAR + CARREGAMENTO DE BYD HIBRIDO</t>
  </si>
  <si>
    <t xml:space="preserve">Cliente: Henrique dos Santos Peite  |  UC Enel SP 0118487990 / 100242856108  |  Classe B1 residencial, fornecimento MONOFASICO  |  Local da instalacao informado: Av. Cel. Sezefredo Fagundes, 8482 C2</t>
  </si>
  <si>
    <t xml:space="preserve">1. OS QUATRO ORCAMENTOS ANALISADOS</t>
  </si>
  <si>
    <t xml:space="preserve">A) TecSolarSP - 12 modulos JA Solar 615 W = 7,38 kWp + Huawei 6 kW  -&gt;  cotacao Belenergy WEB-006506779 = R$ 18.228,70</t>
  </si>
  <si>
    <t xml:space="preserve">B) TecSolarSP - 12 modulos Astronergy 605 W = 7,26 kWp + Huawei 6 kW  -&gt;  cotacao Belenergy WEB-006512519 = R$ 17.307,90</t>
  </si>
  <si>
    <t xml:space="preserve">C) SunWash (Yuri) - 10 modulos TCL 620 W = 6,20 kWp + inversor AUXSOL 5 kW  -&gt;  R$ 14.220,34 INSTALADO</t>
  </si>
  <si>
    <t xml:space="preserve">D) SunWash (Yuri) - 10 modulos TCL 620 W = 6,20 kWp + inversor HUAWEI 5 kW  -&gt;  R$ 15.220,34 INSTALADO</t>
  </si>
  <si>
    <t xml:space="preserve">     (a SunWash tambem anunciou kits Intelbras de 'ate 500 / 700 / 1000 kWh/mes' por R$ 12.459,81 / 16.190,48 / 20.777,81</t>
  </si>
  <si>
    <t xml:space="preserve">      + R$ 1.800 de acrescimo regional. Sem quantidade nem potencia de modulo informadas - descartados da comparacao.)</t>
  </si>
  <si>
    <t xml:space="preserve">E) William - 10 modulos Maxeon 535 W = 5,35 kWp + Solis 4 kW  -&gt;  R$ 18.848,91 INSTALADO (kit 11.158,91 + eng. 790 + instal. 6.900)</t>
  </si>
  <si>
    <t xml:space="preserve">F) Sun Coast (Alexandre) - 8 modulos RONMA 585 W = 4,68 kWp + AUXSOL 3 kW 1 MPPT  -&gt;  R$ 12.387,64 INSTALADO</t>
  </si>
  <si>
    <t xml:space="preserve">     Proposta 40436 de 11/08/2026, valida ate 20/08/2026. CNPJ 47.864.839/0001-31. Unica com garantias declaradas.</t>
  </si>
  <si>
    <t xml:space="preserve">G) SunWash (Yuri) - 10 modulos de 650 W = 6,50 kWp + 4 MICROINVERSORES de 2,25 kW  -&gt;  R$ 16.780,54 INSTALADO</t>
  </si>
  <si>
    <t xml:space="preserve">     Unica com 18x SEM JUROS pelo mesmo valor a vista (R$ 932,25/mes). Unica com 1 MPPT por modulo.</t>
  </si>
  <si>
    <t xml:space="preserve">H) Sfero (indicacao do Renato) - 10 modulos Longi/DAH 590 W = 5,90 kWp + 2 microinversores Solis/Growatt de 2,5 kW</t>
  </si>
  <si>
    <t xml:space="preserve">     -&gt; R$ 18.733,00 INSTALADO. A UNICA com marcas Tier 1 nos DOIS equipamentos, seguro All Risk e garantia de performance em contrato.</t>
  </si>
  <si>
    <t xml:space="preserve">I) Sun Coast v2 (Alexandre) - 11 modulos TCL 620 W = 6,82 kWp + AUXSOL 7,5 kW 2 MPPT  -&gt;  R$ 16.890,00 INSTALADO</t>
  </si>
  <si>
    <t xml:space="preserve">     Substitui a proposta F: corrigiu a relacao DC/AC de 1,56 para 0,91 e passou de 1 para 2 MPPTs. Melhor R$/Wp de todos.</t>
  </si>
  <si>
    <t xml:space="preserve">J) AD BioSolar (Adriano Melo) - 8 modulos JA Solar 615 W = 4,92 kWp + HUAWEI SUN2000-5KTL-L1  -&gt;  R$ 17.442,00 INSTALADO</t>
  </si>
  <si>
    <t xml:space="preserve">     A UNICA que informou o MODELO EXATO do inversor, e a de melhores garantias: 30 anos de eficiencia no modulo e 10 anos no inversor.</t>
  </si>
  <si>
    <t xml:space="preserve">     Em contrapartida e a mais cara por Wp entre as turnkey e cobre so 77% do consumo com o carro.</t>
  </si>
  <si>
    <t xml:space="preserve">K) Bruno G4 (11) 96861-7830 - nada recebido ainda. Coluna reservada na aba COMPARATIVO.</t>
  </si>
  <si>
    <t xml:space="preserve">2. AS TRES DESCOBERTAS MAIS IMPORTANTES</t>
  </si>
  <si>
    <t xml:space="preserve">(1) SEU PADRAO E MONOFASICO, E TODOS OS INVERSORES COTADOS SAO DE 220 V.</t>
  </si>
  <si>
    <t xml:space="preserve">     Na Enel SP o monofasico entrega 127 V. Inversor de 220 V exige DUAS fases. Ou seja: TODOS os quatro orcamentos</t>
  </si>
  <si>
    <t xml:space="preserve">     dependem de mudanca do padrao de entrada para bifasico - com custo, projeto e aprovacao da Enel. Somente o</t>
  </si>
  <si>
    <t xml:space="preserve">     William menciona isso (observacao 2 da proposta dele), e nenhum dos quatro colocou o custo no preco.</t>
  </si>
  <si>
    <t xml:space="preserve">     Consequencia extra: ao virar bifasico, o custo de disponibilidade sobe de 30 para 50 kWh/mes para sempre.</t>
  </si>
  <si>
    <t xml:space="preserve">(2) A GERACAO PROMETIDA PELA TECSOLARSP FOI CALCULADA COMO SE O TELHADO FOSSE VOLTADO AO NORTE.</t>
  </si>
  <si>
    <t xml:space="preserve">     Eles declaram telhado SUDESTE e prometem 10.554 kWh/ano para 7,38 kWp, o que da 1.430 kWh por kWp ao ano.</t>
  </si>
  <si>
    <t xml:space="preserve">     Esse valor e exatamente o que um telhado NORTE produziria (1.421 na aba GERACAO). No Sudeste sao ~1.264.</t>
  </si>
  <si>
    <t xml:space="preserve">     A SunWash escreve isso abertamente no anuncio: 'CALCULO CONSIDERANDO NORTE DO TELHADO'. Desconto de ~11%.</t>
  </si>
  <si>
    <t xml:space="preserve">(3) NENHUM DOS QUATRO CONSIDEROU O CARREGAMENTO DO BYD.</t>
  </si>
  <si>
    <t xml:space="preserve">     Todos dimensionaram pela conta antiga (media de 381 kWh/mes). Com o carro o consumo vai para a faixa de</t>
  </si>
  <si>
    <t xml:space="preserve">     580 a 680 kWh/mes. A proposta do William (5,35 kWp) fica subdimensionada e o inversor Solis de 4 kW nao</t>
  </si>
  <si>
    <t xml:space="preserve">     permite ampliar depois. A Sun Coast (4,68 kWp) e a menor de todas e cobre so 73% do consumo com o carro.</t>
  </si>
  <si>
    <t xml:space="preserve">     As de 6,20 e 7,38 kWp por coincidencia ficam adequadas.</t>
  </si>
  <si>
    <t xml:space="preserve">2c. CUIDADO COM O PAYBACK COMO CRITERIO UNICO</t>
  </si>
  <si>
    <t xml:space="preserve">Sistema pequeno se paga rapido e depois te deixa pagando conta de luz para sempre. O payback ignora a energia que</t>
  </si>
  <si>
    <t xml:space="preserve">voce NAO compensou. Use a linha 61 do COMPARATIVO (LUCRO LIQUIDO EM 20 ANOS) para decidir, nao a linha 57 (payback).</t>
  </si>
  <si>
    <t xml:space="preserve">Exemplo real deste caso: Sun Coast e SunWash tem payback quase igual, mas a SunWash rende cerca de R$ 48 mil MAIS</t>
  </si>
  <si>
    <t xml:space="preserve">em 20 anos, porque o sistema e 32% maior e cobre o carro.</t>
  </si>
  <si>
    <t xml:space="preserve">2b. DIFERENCA DE PRECO ENTRE OS FORNECEDORES - O DADO MAIS IMPORTANTE PARA NEGOCIAR</t>
  </si>
  <si>
    <t xml:space="preserve">SunWash cobra R$ 2,29 a R$ 2,46 por Wp INSTALADO. William cobrou R$ 3,52 por Wp INSTALADO.</t>
  </si>
  <si>
    <t xml:space="preserve">A TecSolarSP paga R$ 2,47 por Wp so de MATERIAL - o preco de venda dela ainda nao foi informado.</t>
  </si>
  <si>
    <t xml:space="preserve">Voce agora sabe o custo de material do integrador. Use isso para negociar.</t>
  </si>
  <si>
    <t xml:space="preserve">3. LEGENDA DE CORES</t>
  </si>
  <si>
    <t xml:space="preserve">CELULA AMARELA COM NUMERO AZUL = voce pode/deve editar. Todo o resto e formula e recalcula sozinho.</t>
  </si>
  <si>
    <t xml:space="preserve">Texto preto = formula.   Texto verde = valor puxado de outra aba.   Fundo vermelho = alerta tecnico.</t>
  </si>
  <si>
    <t xml:space="preserve">4. O QUE JA E DADO REAL E O QUE AINDA E ESTIMATIVA</t>
  </si>
  <si>
    <t xml:space="preserve">DADO REAL (extraido da conta que veio na proposta do William): historico de 12 meses, media de 381,3 kWh/mes,</t>
  </si>
  <si>
    <t xml:space="preserve">fatura de jul/2026 de R$ 572,70 para 540 kWh, COSIP de R$ 21,11, tarifa efetiva de R$ 1,0215/kWh, classe B1 monofasica.</t>
  </si>
  <si>
    <t xml:space="preserve">ESTIMATIVA A CONFIRMAR: (a) todos os dados do BYD - modelo, km/dia, horario e potencia do carregador;</t>
  </si>
  <si>
    <t xml:space="preserve">(b) potencia, quantidade de modulos e inversor dos kits SunWash - o anuncio nao informa;</t>
  </si>
  <si>
    <t xml:space="preserve">(c) preco de venda instalado da TecSolarSP - os 2 PDFs sao o CUSTO DE MATERIAL deles, nao o seu preco;</t>
  </si>
  <si>
    <t xml:space="preserve">(d) custo da adequacao do padrao monofasico -&gt; bifasico; (e) TUSD Fio B da Enel SP; (f) tipo real da telha.</t>
  </si>
  <si>
    <t xml:space="preserve">5. ROTEIRO DAS ABAS</t>
  </si>
  <si>
    <t xml:space="preserve">ENTRADAS ........... dados da conta (REAIS), premissas tecnicas e dados do BYD (a preencher)</t>
  </si>
  <si>
    <t xml:space="preserve">CONTA .............. analise da fatura e do historico de 12 meses, media, extremos e tendencia</t>
  </si>
  <si>
    <t xml:space="preserve">GERACAO ............ irradiacao mes a mes e geracao por kWp: telhado Sudeste x Norte</t>
  </si>
  <si>
    <t xml:space="preserve">BYD ................ consumo do carro em kWh/mes, potencia x energia do carregador e os 3 cenarios de consumo</t>
  </si>
  <si>
    <t xml:space="preserve">DIMENSIONAMENTO .... o kWp que VOCE precisa e as opcoes economica / ideal / com expansao</t>
  </si>
  <si>
    <t xml:space="preserve">COMPARATIVO ........ quadro lado a lado dos 5 orcamentos. ABA PRINCIPAL</t>
  </si>
  <si>
    <t xml:space="preserve">BOM_DETALHADO ...... lista de materiais item por item das 3 cotacoes Belenergy</t>
  </si>
  <si>
    <t xml:space="preserve">ECONOMIA ........... economia do ano 1 pelas regras da Lei 14.300 (Fio B, disponibilidade, COSIP)</t>
  </si>
  <si>
    <t xml:space="preserve">PROJECAO ........... fluxo de caixa de 20 anos e payback de cada opcao</t>
  </si>
  <si>
    <t xml:space="preserve">SIMULACAO_MENSAL ... consumo x geracao x banco de creditos mes a mes</t>
  </si>
  <si>
    <t xml:space="preserve">CHECKLIST .......... o que exigir por escrito antes de assinar</t>
  </si>
  <si>
    <t xml:space="preserve">NOVOS_ORCAMENTOS ... formulario para o Bruno G4 e proximos vendedores</t>
  </si>
  <si>
    <t xml:space="preserve">6. AVISO TECNICO</t>
  </si>
  <si>
    <t xml:space="preserve">Toda conclusao aqui e 'aparentemente adequada pelos dados fornecidos'. Nada esta 'confirmado apos inspecao tecnica'.</t>
  </si>
  <si>
    <t xml:space="preserve">Estrutura do telhado, quadro eletrico, aterramento, padrao de entrada e area util exigem visita de profissional</t>
  </si>
  <si>
    <t xml:space="preserve">habilitado com CREA ou CFT e ART emitida. Nao foram enviadas fotos do telhado, portanto a area disponivel e a</t>
  </si>
  <si>
    <t xml:space="preserve">quantidade real de placas que cabem NAO foram avaliadas nesta analise.</t>
  </si>
  <si>
    <t xml:space="preserve">ENTRADAS - DADOS DE PARTIDA</t>
  </si>
  <si>
    <t xml:space="preserve">Edite apenas as celulas AMARELAS. Os dados da conta ja sao REAIS (extraidos da fatura). Os dados do BYD ainda sao estimativa.</t>
  </si>
  <si>
    <t xml:space="preserve">A) LOCAL E TELHADO</t>
  </si>
  <si>
    <t xml:space="preserve">Endereco da unidade consumidora</t>
  </si>
  <si>
    <t xml:space="preserve">Av Cel Sezefredo Fagundes 8482 CS 2</t>
  </si>
  <si>
    <t xml:space="preserve">CONFIRMADO na fatura</t>
  </si>
  <si>
    <t xml:space="preserve">Bairro / Cidade / CEP</t>
  </si>
  <si>
    <t xml:space="preserve">Jardim das Pedras - SAO PAULO/SP - 02367-075</t>
  </si>
  <si>
    <t xml:space="preserve">ALERTA: a peca da TecSolarSP diz 'Franco da Rocha'. A conta diz SAO PAULO capital. Corrigir antes da homologacao</t>
  </si>
  <si>
    <t xml:space="preserve">Distribuidora</t>
  </si>
  <si>
    <t xml:space="preserve">Enel SP (Eletropaulo Metropolitana)</t>
  </si>
  <si>
    <t xml:space="preserve">CONFIRMADO na fatura - CNPJ 61.xxx.xxx/xxxx-93</t>
  </si>
  <si>
    <t xml:space="preserve">Orientacao do telhado (azimute)</t>
  </si>
  <si>
    <t xml:space="preserve">Sudeste (SE)</t>
  </si>
  <si>
    <t xml:space="preserve">Declarado pela TecSolarSP. Penaliza a geracao no hemisferio sul</t>
  </si>
  <si>
    <t xml:space="preserve">Inclinacao do telhado</t>
  </si>
  <si>
    <t xml:space="preserve">graus</t>
  </si>
  <si>
    <t xml:space="preserve">Declarado pela TecSolarSP</t>
  </si>
  <si>
    <t xml:space="preserve">Tipo de telha</t>
  </si>
  <si>
    <t xml:space="preserve">A CONFIRMAR</t>
  </si>
  <si>
    <t xml:space="preserve">ALERTA: TecSolarSP cotou FIBROCIMENTO e William cotou telha COLONIAL. Um dos dois nao viu o telhado</t>
  </si>
  <si>
    <t xml:space="preserve">Sombreamento</t>
  </si>
  <si>
    <t xml:space="preserve">NAO AVALIADO</t>
  </si>
  <si>
    <t xml:space="preserve">Nao foram enviadas fotos do telhado - area util e sombras nao foram verificadas</t>
  </si>
  <si>
    <t xml:space="preserve">B) CONTA DE ENERGIA  (TODOS OS VALORES CONFIRMADOS NA FATURA DE JUL/2026)</t>
  </si>
  <si>
    <t xml:space="preserve">Classe / subgrupo / modalidade</t>
  </si>
  <si>
    <t xml:space="preserve">B1 Residencial Convencional</t>
  </si>
  <si>
    <t xml:space="preserve">CONFIRMADO: 'B - B1 - CONVENCIONAL - Residencial'</t>
  </si>
  <si>
    <t xml:space="preserve">Numero de fases do padrao ATUAL</t>
  </si>
  <si>
    <t xml:space="preserve">fases</t>
  </si>
  <si>
    <t xml:space="preserve">CONFIRMADO na fatura: MONOFASICO (127 V na Enel SP)</t>
  </si>
  <si>
    <t xml:space="preserve">Numero de fases DEPOIS do projeto</t>
  </si>
  <si>
    <t xml:space="preserve">ALERTA: todos os inversores cotados sao de 220 V e exigem 2 fases. Este e o valor usado nos calculos</t>
  </si>
  <si>
    <t xml:space="preserve">Custo de disponibilidade apos o projeto</t>
  </si>
  <si>
    <t xml:space="preserve">kWh/mes</t>
  </si>
  <si>
    <t xml:space="preserve">Minimo faturado todo mes. Sobe de 30 para 50 kWh ao virar bifasico - custo permanente</t>
  </si>
  <si>
    <t xml:space="preserve">TARIFA EFETIVA TOTAL com tributos</t>
  </si>
  <si>
    <t xml:space="preserve">R$/kWh</t>
  </si>
  <si>
    <t xml:space="preserve">CONFIRMADO: R$ 551,59 de energia / 540 kWh. Inclui TUSD + TE + bandeira amarela + PIS/COFINS + ICMS 18%</t>
  </si>
  <si>
    <t xml:space="preserve">TUSD com tributos</t>
  </si>
  <si>
    <t xml:space="preserve">CONFIRMADO na fatura (tarifa sem tributos: R$ 0,46394)</t>
  </si>
  <si>
    <t xml:space="preserve">TE - Energia com tributos</t>
  </si>
  <si>
    <t xml:space="preserve">CONFIRMADO na fatura (tarifa sem tributos: R$ 0,31182)</t>
  </si>
  <si>
    <t xml:space="preserve">Adicional de bandeira (amarela em jul/26)</t>
  </si>
  <si>
    <t xml:space="preserve">CONFIRMADO: R$ 13,06 / 540 kWh. Em bandeira verde este valor e zero</t>
  </si>
  <si>
    <t xml:space="preserve">Parcela da TUSD que corresponde ao Fio B</t>
  </si>
  <si>
    <t xml:space="preserve">ESTIMATIVA - a fatura nao detalha o Fio B. Pedir a planilha tarifaria da Enel/ANEEL. Faixa usual: 55% a 70% da TUSD</t>
  </si>
  <si>
    <t xml:space="preserve">TUSD Fio B com tributos</t>
  </si>
  <si>
    <t xml:space="preserve">Base de cobranca sobre a energia compensada (Lei 14.300)</t>
  </si>
  <si>
    <t xml:space="preserve">% do Fio B faturado em 2026</t>
  </si>
  <si>
    <t xml:space="preserve">Lei 14.300/2022: 60% em 2026, 75% em 2027, 90% em 2028, 100% de 2029 em diante</t>
  </si>
  <si>
    <t xml:space="preserve">CUSTO EFETIVO DO FIO B HOJE</t>
  </si>
  <si>
    <t xml:space="preserve">E o que voce paga por cada kWh compensado com credito</t>
  </si>
  <si>
    <t xml:space="preserve">COSIP / iluminacao publica</t>
  </si>
  <si>
    <t xml:space="preserve">R$/mes</t>
  </si>
  <si>
    <t xml:space="preserve">CONFIRMADO na fatura. NAO e compensada pela geracao solar</t>
  </si>
  <si>
    <t xml:space="preserve">Inflacao energetica anual</t>
  </si>
  <si>
    <t xml:space="preserve">%/ano</t>
  </si>
  <si>
    <t xml:space="preserve">Premissa. A Enel aplicou +8,8% para residencial em 04/07/2026 (Res. Homologatoria 3.596/26)</t>
  </si>
  <si>
    <t xml:space="preserve">Custo da adequacao do padrao (mono -&gt; bifasico)</t>
  </si>
  <si>
    <t xml:space="preserve">R$</t>
  </si>
  <si>
    <t xml:space="preserve">ESTIMATIVA - nenhum orcamento incluiu. Pedir orcamento de eletricista + taxa Enel. Aplicado a TODAS as opcoes</t>
  </si>
  <si>
    <t xml:space="preserve">C) PREMISSAS TECNICAS DO SISTEMA FV</t>
  </si>
  <si>
    <t xml:space="preserve">Performance Ratio (PR)</t>
  </si>
  <si>
    <t xml:space="preserve">Perdas de ~21%: temperatura, sujeira, cabos, inversor, mismatch</t>
  </si>
  <si>
    <t xml:space="preserve">PR do cenario conservador</t>
  </si>
  <si>
    <t xml:space="preserve">Usado na linha de sensibilidade do COMPARATIVO. William usou 0,70 na proposta dele</t>
  </si>
  <si>
    <t xml:space="preserve">Degradacao no 1o ano</t>
  </si>
  <si>
    <t xml:space="preserve">Tipico de modulo novo</t>
  </si>
  <si>
    <t xml:space="preserve">Degradacao dos anos seguintes</t>
  </si>
  <si>
    <t xml:space="preserve">N-type TOPCon ~0,40%/ano. PERC ~0,55%/ano - o modulo do William e PERC</t>
  </si>
  <si>
    <t xml:space="preserve">Manutencao / limpeza (O&amp;M)</t>
  </si>
  <si>
    <t xml:space="preserve">R$/ano</t>
  </si>
  <si>
    <t xml:space="preserve">Premissa: 2 limpezas por ano</t>
  </si>
  <si>
    <t xml:space="preserve">Provisao anual para troca do inversor</t>
  </si>
  <si>
    <t xml:space="preserve">Inversor dura ~12 a 15 anos, o modulo dura 25+</t>
  </si>
  <si>
    <t xml:space="preserve">Autoconsumo instantaneo</t>
  </si>
  <si>
    <t xml:space="preserve">Parcela usada no mesmo instante da geracao. Sobe muito se o BYD carregar de dia</t>
  </si>
  <si>
    <t xml:space="preserve">D) BYD HIBRIDO  &gt;&gt;&gt; DADOS NAO INFORMADOS - TUDO AQUI E ESTIMATIVA &lt;&lt;&lt;</t>
  </si>
  <si>
    <t xml:space="preserve">Modelo do veiculo</t>
  </si>
  <si>
    <t xml:space="preserve">BYD Song Pro DM-i GL</t>
  </si>
  <si>
    <t xml:space="preserve">INFORMADO pelo cliente</t>
  </si>
  <si>
    <t xml:space="preserve">Capacidade da bateria</t>
  </si>
  <si>
    <t xml:space="preserve">kWh</t>
  </si>
  <si>
    <t xml:space="preserve">ESTIMATIVA para o Song Pro DM-i - CONFIRMAR no manual, pois a versao GL pode diferir</t>
  </si>
  <si>
    <t xml:space="preserve">Consumo eletrico do veiculo</t>
  </si>
  <si>
    <t xml:space="preserve">kWh/100km</t>
  </si>
  <si>
    <t xml:space="preserve">ESTIMATIVA de uso real do Song Pro em modo eletrico. Faixa plausivel: 14 a 18 conforme trajeto e uso de ar-condicionado</t>
  </si>
  <si>
    <t xml:space="preserve">Distancia percorrida por dia</t>
  </si>
  <si>
    <t xml:space="preserve">km/dia</t>
  </si>
  <si>
    <t xml:space="preserve">Dias de carregamento por mes</t>
  </si>
  <si>
    <t xml:space="preserve">dias/mes</t>
  </si>
  <si>
    <t xml:space="preserve">INFORMADO pelo cliente: carrega todos os dias</t>
  </si>
  <si>
    <t xml:space="preserve">Eficiencia de carregamento (tomada -&gt; bateria)</t>
  </si>
  <si>
    <t xml:space="preserve">Perdas do carregador AC, do BMS e termicas. Faixa tecnica de 85% a 90%</t>
  </si>
  <si>
    <t xml:space="preserve">Potencia do carregador (kW = POTENCIA)</t>
  </si>
  <si>
    <t xml:space="preserve">kW</t>
  </si>
  <si>
    <t xml:space="preserve">ESTIMATIVA: carregador AC embarcado do Song Pro DM-i. CONFIRMAR - define disjuntor e cabo</t>
  </si>
  <si>
    <t xml:space="preserve">Objetivo declarado</t>
  </si>
  <si>
    <t xml:space="preserve">RODAR TUDO NO ELETRICO</t>
  </si>
  <si>
    <t xml:space="preserve">INFORMADO pelo cliente. Exige DUAS cargas por dia - ver bloco 7 da aba BYD</t>
  </si>
  <si>
    <t xml:space="preserve">Margem de crescimento futuro do consumo</t>
  </si>
  <si>
    <t xml:space="preserve">Premissa para o Cenario 3. A conta ja mostra alta de 22% em 6 meses e 39% ano a ano</t>
  </si>
  <si>
    <t xml:space="preserve">Reserva da bateria mantida para o modo hibrido</t>
  </si>
  <si>
    <t xml:space="preserve">Os DM-i nao esvaziam a bateria: guardam uma reserva para operar como hibrido. ESTIMATIVA de 25%</t>
  </si>
  <si>
    <t xml:space="preserve">E) BASE DE DIMENSIONAMENTO (calculada da conta real)</t>
  </si>
  <si>
    <t xml:space="preserve">Base residencial PURA - 10 meses antes do degrau</t>
  </si>
  <si>
    <t xml:space="preserve">352 kWh/mes. E a base USADA nos cenarios, partindo do principio de que o degrau de maio ja e carga do carro</t>
  </si>
  <si>
    <t xml:space="preserve">Alternativa: consumo atual medido (com o degrau)</t>
  </si>
  <si>
    <t xml:space="preserve">468 kWh/mes. Use esta se o degrau for OUTRA carga nova e nao o carro - ver bloco 6 da aba BYD</t>
  </si>
  <si>
    <t xml:space="preserve">Custo marginal por modulo adicional (instalado)</t>
  </si>
  <si>
    <t xml:space="preserve">R$/modulo</t>
  </si>
  <si>
    <t xml:space="preserve">ESTIMATIVA: modulo + estrutura + cabo + mao de obra, SEM inversor. Usado nas colunas de simulacao G12 e G14. PEDIR O VALOR REAL AO YURI</t>
  </si>
  <si>
    <t xml:space="preserve">F) PADRAO REAL DE CARREGAMENTO (informado pelo cliente)</t>
  </si>
  <si>
    <t xml:space="preserve">Reposicao media por carga</t>
  </si>
  <si>
    <t xml:space="preserve">da bateria</t>
  </si>
  <si>
    <t xml:space="preserve">INFORMADO: recarrega em media 50% da bateria por sessao</t>
  </si>
  <si>
    <t xml:space="preserve">Cargas por dia</t>
  </si>
  <si>
    <t xml:space="preserve">cargas/dia</t>
  </si>
  <si>
    <t xml:space="preserve">INFORMADO: uma carga por dia</t>
  </si>
  <si>
    <t xml:space="preserve">G) COMBUSTIVEL (para comparar eletrico x gasolina)</t>
  </si>
  <si>
    <t xml:space="preserve">Consumo em modo hibrido</t>
  </si>
  <si>
    <t xml:space="preserve">km/litro</t>
  </si>
  <si>
    <t xml:space="preserve">ESTIMATIVA para o Song Pro DM-i rodando como hibrido. Faixa plausivel: 15 a 20 km/l</t>
  </si>
  <si>
    <t xml:space="preserve">Preco da gasolina</t>
  </si>
  <si>
    <t xml:space="preserve">R$/litro</t>
  </si>
  <si>
    <t xml:space="preserve">ESTIMATIVA. Ajuste para o preco que voce paga</t>
  </si>
  <si>
    <t xml:space="preserve">ANALISE DA CONTA DE ENERGIA - DADOS REAIS DA FATURA</t>
  </si>
  <si>
    <t xml:space="preserve">Fonte: fatura Enel SP no 599307231012, ref. 07/2026, UC 0118487990 / 100242856108, NF 085726810 emitida em 30/07/2026.</t>
  </si>
  <si>
    <t xml:space="preserve">HISTORICO DE 13 MESES (impresso na fatura)</t>
  </si>
  <si>
    <t xml:space="preserve">DECOMPOSICAO DA FATURA DE JUL/2026 (540 kWh)</t>
  </si>
  <si>
    <t xml:space="preserve">Mes/Ano</t>
  </si>
  <si>
    <t xml:space="preserve">Consumo (kWh)</t>
  </si>
  <si>
    <t xml:space="preserve">Dias</t>
  </si>
  <si>
    <t xml:space="preserve">Media (kWh/dia)</t>
  </si>
  <si>
    <t xml:space="preserve">USO DO SISTEMA DE DISTRIBUICAO (TUSD)</t>
  </si>
  <si>
    <t xml:space="preserve">540 kWh x R$ 0,59643 com tributos (tarifa base R$ 0,46394)</t>
  </si>
  <si>
    <t xml:space="preserve">Jul/25</t>
  </si>
  <si>
    <t xml:space="preserve">ENERGIA (TE)</t>
  </si>
  <si>
    <t xml:space="preserve">540 kWh x R$ 0,40085 com tributos (tarifa base R$ 0,31182)</t>
  </si>
  <si>
    <t xml:space="preserve">Ago/25</t>
  </si>
  <si>
    <t xml:space="preserve">ADICIONAL DE BANDEIRA AMARELA</t>
  </si>
  <si>
    <t xml:space="preserve">Bandeira aplicada no mes: AMARELA. Em bandeira verde este item e zero</t>
  </si>
  <si>
    <t xml:space="preserve">Set/25</t>
  </si>
  <si>
    <t xml:space="preserve">Subtotal de faturamento (energia)</t>
  </si>
  <si>
    <t xml:space="preserve">Base de calculo do ICMS</t>
  </si>
  <si>
    <t xml:space="preserve">Out/25</t>
  </si>
  <si>
    <t xml:space="preserve">COSIP - iluminacao publica municipal</t>
  </si>
  <si>
    <t xml:space="preserve">Cobrada pela Prefeitura. A geracao solar NAO reduz este item</t>
  </si>
  <si>
    <t xml:space="preserve">Nov/25</t>
  </si>
  <si>
    <t xml:space="preserve">TOTAL DA FATURA</t>
  </si>
  <si>
    <t xml:space="preserve">Vencimento 14/08/2026</t>
  </si>
  <si>
    <t xml:space="preserve">Dez/25</t>
  </si>
  <si>
    <t xml:space="preserve">TARIFA EFETIVA  =  551,59 / 540</t>
  </si>
  <si>
    <t xml:space="preserve">R$ 1,0215/kWh. E a tarifa usada em toda a planilha.</t>
  </si>
  <si>
    <t xml:space="preserve">Jan/26</t>
  </si>
  <si>
    <t xml:space="preserve">Fev/26</t>
  </si>
  <si>
    <t xml:space="preserve">TRIBUTOS EMBUTIDOS NA FATURA</t>
  </si>
  <si>
    <t xml:space="preserve">Mar/26</t>
  </si>
  <si>
    <t xml:space="preserve">PIS/PASEP - base R$ 452,31 a 0,92%</t>
  </si>
  <si>
    <t xml:space="preserve">Incide antes do ICMS</t>
  </si>
  <si>
    <t xml:space="preserve">Abr/26</t>
  </si>
  <si>
    <t xml:space="preserve">COFINS - base R$ 452,31 a 4,23%</t>
  </si>
  <si>
    <t xml:space="preserve">Mai/26</t>
  </si>
  <si>
    <t xml:space="preserve">ICMS - base R$ 551,59 a 18%</t>
  </si>
  <si>
    <t xml:space="preserve">Maior tributo da conta</t>
  </si>
  <si>
    <t xml:space="preserve">Jun/26</t>
  </si>
  <si>
    <t xml:space="preserve">TOTAL DE TRIBUTOS</t>
  </si>
  <si>
    <t xml:space="preserve">21,4% do valor total da fatura</t>
  </si>
  <si>
    <t xml:space="preserve">Jul/26</t>
  </si>
  <si>
    <t xml:space="preserve">Linha 6 = Jul/25 (mes mais antigo). Linha 18 = Jul/26 (mes atual). Verde = menor consumo. Vermelho = maior consumo.</t>
  </si>
  <si>
    <t xml:space="preserve">DADOS DA UNIDADE CONSUMIDORA</t>
  </si>
  <si>
    <t xml:space="preserve">Enel SP - Eletropaulo Metropolitana</t>
  </si>
  <si>
    <t xml:space="preserve">ESTATISTICAS DOS 12 MESES MAIS RECENTES (Ago/25 a Jul/26)</t>
  </si>
  <si>
    <t xml:space="preserve">Unidade consumidora</t>
  </si>
  <si>
    <t xml:space="preserve">0118487990 / 100242856108</t>
  </si>
  <si>
    <t xml:space="preserve">TOTAL ANUAL</t>
  </si>
  <si>
    <t xml:space="preserve">kWh/ano</t>
  </si>
  <si>
    <t xml:space="preserve">Numero do cliente</t>
  </si>
  <si>
    <t xml:space="preserve">24186384</t>
  </si>
  <si>
    <t xml:space="preserve">CONSUMO MEDIO MENSAL  =  soma / 12</t>
  </si>
  <si>
    <t xml:space="preserve">B - B1 - Convencional - Residencial</t>
  </si>
  <si>
    <t xml:space="preserve">Total de dias faturados</t>
  </si>
  <si>
    <t xml:space="preserve">dias</t>
  </si>
  <si>
    <t xml:space="preserve">TIPO DE LIGACAO</t>
  </si>
  <si>
    <t xml:space="preserve">MONOFASICO</t>
  </si>
  <si>
    <t xml:space="preserve">Consumo medio diario</t>
  </si>
  <si>
    <t xml:space="preserve">kWh/dia</t>
  </si>
  <si>
    <t xml:space="preserve">Bandeira tarifaria do mes</t>
  </si>
  <si>
    <t xml:space="preserve">AMARELA</t>
  </si>
  <si>
    <t xml:space="preserve">MAIOR CONSUMO (Jul/26)</t>
  </si>
  <si>
    <t xml:space="preserve">Periodo de leitura</t>
  </si>
  <si>
    <t xml:space="preserve">26/06/2026 a 29/07/2026 - 33 dias</t>
  </si>
  <si>
    <t xml:space="preserve">MENOR CONSUMO (Set/25)</t>
  </si>
  <si>
    <t xml:space="preserve">Proxima leitura prevista</t>
  </si>
  <si>
    <t xml:space="preserve">27/08/2026</t>
  </si>
  <si>
    <t xml:space="preserve">Amplitude maior / menor</t>
  </si>
  <si>
    <t xml:space="preserve">Medidor</t>
  </si>
  <si>
    <t xml:space="preserve">UQM9HDN25C01281527</t>
  </si>
  <si>
    <t xml:space="preserve">Consumo do mes atual (Jul/26)</t>
  </si>
  <si>
    <t xml:space="preserve">Leitura anterior / atual</t>
  </si>
  <si>
    <t xml:space="preserve">3.458 -&gt; 3.998 (constante 1,0)</t>
  </si>
  <si>
    <t xml:space="preserve">Mes atual x media dos 12 meses</t>
  </si>
  <si>
    <t xml:space="preserve">Reajuste tarifario vigente</t>
  </si>
  <si>
    <t xml:space="preserve">+8,8% residencial em 04/07/2026 (Res. Hom. ANEEL 3.596/26)</t>
  </si>
  <si>
    <t xml:space="preserve">Media dos 6 meses mais antigos (Ago/25 a Jan/26)</t>
  </si>
  <si>
    <t xml:space="preserve">Custo de disponibilidade hoje (monofasico)</t>
  </si>
  <si>
    <t xml:space="preserve">30 kWh/mes</t>
  </si>
  <si>
    <t xml:space="preserve">Media dos 6 meses mais recentes (Fev/26 a Jul/26)</t>
  </si>
  <si>
    <t xml:space="preserve">Custo de disponibilidade se virar bifasico</t>
  </si>
  <si>
    <t xml:space="preserve">50 kWh/mes</t>
  </si>
  <si>
    <t xml:space="preserve">TENDENCIA - recentes x antigos</t>
  </si>
  <si>
    <t xml:space="preserve">semestre contra semestre</t>
  </si>
  <si>
    <t xml:space="preserve">DEC / FEC do conjunto (ano)</t>
  </si>
  <si>
    <t xml:space="preserve">DEC 7,46 h  /  FEC 4,25 interrupcoes</t>
  </si>
  <si>
    <t xml:space="preserve">MESMO MES, ANO ANTERIOR: Jul/25 x Jul/26</t>
  </si>
  <si>
    <t xml:space="preserve">compara so julho com julho</t>
  </si>
  <si>
    <t xml:space="preserve">TABELA EM ORDEM DE CALENDARIO (usada na aba SIMULACAO_MENSAL)</t>
  </si>
  <si>
    <t xml:space="preserve">Mes</t>
  </si>
  <si>
    <t xml:space="preserve">Referencia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</si>
  <si>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</si>
  <si>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</si>
  <si>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</si>
  <si>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</si>
  <si>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</si>
  <si>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</si>
  <si>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</si>
  <si>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</si>
  <si>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</si>
  <si>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</si>
  <si>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</si>
  <si>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</si>
  <si>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</t>
  </si>
  <si>
    <t xml:space="preserve">GASTO ATUAL COM ENERGIA</t>
  </si>
  <si>
    <t xml:space="preserve">Gasto anual atual (sem BYD, sem solar)</t>
  </si>
  <si>
    <t xml:space="preserve">Gasto medio mensal atual</t>
  </si>
  <si>
    <t xml:space="preserve">Gasto do mes de maior consumo (Jul/26)</t>
  </si>
  <si>
    <t xml:space="preserve">CONCLUSOES DA ANALISE DA CONTA:</t>
  </si>
  <si>
    <t xml:space="preserve">1. Media de 381,3 kWh/mes nos 12 meses mais recentes (4.576 kWh no ano). Este e o CENARIO 1 e NAO deve ser a base do projeto.</t>
  </si>
  <si>
    <t xml:space="preserve">2. TENDENCIA DE ALTA CONFIRMADA POR DOIS CAMINHOS DIFERENTES:</t>
  </si>
  <si>
    <t xml:space="preserve">   - semestre contra semestre: os 6 meses mais recentes estao 22,0% acima dos 6 mais antigos;</t>
  </si>
  <si>
    <t xml:space="preserve">   - julho contra julho: Jul/25 foram 389 kWh e Jul/26 foram 540 kWh, ou seja +38,8% no MESMO mes do ano anterior.</t>
  </si>
  <si>
    <t xml:space="preserve">   O segundo numero elimina o efeito de estacao: o consumo esta crescendo de verdade, nao e so inverno.</t>
  </si>
  <si>
    <t xml:space="preserve">3. PERGUNTA IMPORTANTE: o BYD ja esta sendo carregado em casa? A curva Abr-Mai-Jun-Jul (394 / 457 / 422 / 540) e o salto</t>
  </si>
  <si>
    <t xml:space="preserve">   de 39% ano a ano sao compativeis com a entrada de uma carga nova. Se o carro ja carrega em casa, o consumo futuro sera</t>
  </si>
  <si>
    <t xml:space="preserve">   ainda maior do que o Cenario 2 desta planilha, e o dimensionamento precisa subir.</t>
  </si>
  <si>
    <t xml:space="preserve">4. LIGACAO MONOFASICA CONFIRMADA NA FATURA. E o achado mais critico: os quatro orcamentos usam inversor de 220 V, que</t>
  </si>
  <si>
    <t xml:space="preserve">   exige duas fases. Nenhum incluiu o custo da troca de padrao. Ao virar bifasico, o minimo faturado sobe de 30 para 50 kWh/mes.</t>
  </si>
  <si>
    <t xml:space="preserve">5. Bandeira AMARELA no mes, somando R$ 13,06. Em bandeira verde a tarifa efetiva cai para cerca de R$ 0,997/kWh.</t>
  </si>
  <si>
    <t xml:space="preserve">6. A Enel reajustou a tarifa residencial em +8,8% em 04/07/2026. A premissa de 7%/ano de inflacao energetica e conservadora.</t>
  </si>
  <si>
    <t xml:space="preserve">7. Tributos representam R$ 122,54, ou 21,4% da fatura. A energia solar reduz a base de calculo, e por isso reduz tributos tambem.</t>
  </si>
  <si>
    <t xml:space="preserve">8. O endereco na fatura e SAO PAULO/SP, Jardim das Pedras, CEP 02367-075 - e nao Franco da Rocha, como diz a peca da TecSolarSP.</t>
  </si>
  <si>
    <t xml:space="preserve">   Isso nao muda quase nada na irradiacao, mas muda a agencia de homologacao e o municipio da COSIP. Corrigir na proposta.</t>
  </si>
  <si>
    <t xml:space="preserve">ANALISE FORENSE: JA EXISTE CARGA NOVA NA CONTA? (o medidor nao separa o carro, mas o padrao diario denuncia)</t>
  </si>
  <si>
    <t xml:space="preserve">Media diaria dos 10 meses estaveis (Jul/25 a Abr/26)</t>
  </si>
  <si>
    <t xml:space="preserve">Periodo em que o consumo diario ficou entre 10,0 e 12,3</t>
  </si>
  <si>
    <t xml:space="preserve">Media diaria dos 3 ultimos meses (Mai a Jul/26)</t>
  </si>
  <si>
    <t xml:space="preserve">Periodo apos o degrau</t>
  </si>
  <si>
    <t xml:space="preserve">DEGRAU DETECTADO</t>
  </si>
  <si>
    <t xml:space="preserve">Carga nova que apareceu por volta de maio de 2026</t>
  </si>
  <si>
    <t xml:space="preserve">DEGRAU EM BASE MENSAL</t>
  </si>
  <si>
    <t xml:space="preserve">E este o valor que provavelmente e o carro - ou uma carga nova qualquer</t>
  </si>
  <si>
    <t xml:space="preserve">Aumento percentual</t>
  </si>
  <si>
    <t xml:space="preserve">CONTROLE DE SAZONALIDADE - Jul/25</t>
  </si>
  <si>
    <t xml:space="preserve">Julho de 2025 tambem foi inverno, com chuveiro eletrico ligado</t>
  </si>
  <si>
    <t xml:space="preserve">CONTROLE DE SAZONALIDADE - Jul/26</t>
  </si>
  <si>
    <t xml:space="preserve">Mesmo mes, mesma estacao, um ano depois</t>
  </si>
  <si>
    <t xml:space="preserve">Diferenca julho contra julho</t>
  </si>
  <si>
    <t xml:space="preserve">ESTE e o numero mais confiavel: compara estacao com estacao</t>
  </si>
  <si>
    <t xml:space="preserve">Diferenca julho contra julho em base mensal</t>
  </si>
  <si>
    <t xml:space="preserve">Prova que o aumento NAO e sazonal</t>
  </si>
  <si>
    <t xml:space="preserve">Energia da rede por km rodado</t>
  </si>
  <si>
    <t xml:space="preserve">kWh/km</t>
  </si>
  <si>
    <t xml:space="preserve">Consumo do veiculo dividido pela eficiencia de carregamento</t>
  </si>
  <si>
    <t xml:space="preserve">SE O DEGRAU FOR O BYD, ISSO EQUIVALE A</t>
  </si>
  <si>
    <t xml:space="preserve">km/mes</t>
  </si>
  <si>
    <t xml:space="preserve">Quilometragem eletrica compativel com o degrau medido</t>
  </si>
  <si>
    <t xml:space="preserve">  o mesmo em km por dia</t>
  </si>
  <si>
    <t xml:space="preserve">Pelo controle julho x julho, equivale a</t>
  </si>
  <si>
    <t xml:space="preserve">Segunda estimativa, pelo caminho independente</t>
  </si>
  <si>
    <t xml:space="preserve">COMO ESTA ANALISE FUNCIONA E PARA QUE SERVE:</t>
  </si>
  <si>
    <t xml:space="preserve">O medidor da Enel registra apenas o TOTAL da casa - nao existe forma de ler na conta quanto foi para o carro.</t>
  </si>
  <si>
    <t xml:space="preserve">Mas o consumo DIARIO (coluna E) revela um degrau claro: ficou entre 10,0 e 12,3 kWh/dia por dez meses seguidos,</t>
  </si>
  <si>
    <t xml:space="preserve">e saltou para 14,5 a 16,4 kWh/dia a partir de maio de 2026. Normalizar por dia e essencial porque os ciclos de</t>
  </si>
  <si>
    <t xml:space="preserve">faturamento variam de 29 a 33 dias - comparar kWh do mes direto induz a erro.</t>
  </si>
  <si>
    <t xml:space="preserve">O teste decisivo e julho contra julho: mesma estacao, mesmo uso de chuveiro eletrico, um ano de diferenca.</t>
  </si>
  <si>
    <t xml:space="preserve">Deu +4,2 kWh/dia. Isso praticamente elimina a hipotese de que o aumento seja apenas inverno.</t>
  </si>
  <si>
    <t xml:space="preserve">RESSALVAS HONESTAS: (a) nao ha dados de maio e junho de 2025 para comparar esses dois meses ano a ano;</t>
  </si>
  <si>
    <t xml:space="preserve">(b) o degrau pode ser outra carga nova - ar-condicionado, freezer, mais gente em casa - e nao o carro;</t>
  </si>
  <si>
    <t xml:space="preserve">(c) o mes de Nov/25 foi faturado como MED (media estimada), nao leitura real, o que adiciona um pouco de ruido;</t>
  </si>
  <si>
    <t xml:space="preserve">(d) a conversao para quilometragem usa o consumo estimado de 17 kWh/100 km, que ainda nao foi confirmado.</t>
  </si>
  <si>
    <t xml:space="preserve">POR ISSO A PERGUNTA IMPORTA TANTO: se o carro JA esta carregando desde maio, o consumo futuro e proximo dos</t>
  </si>
  <si>
    <t xml:space="preserve">468 kWh/mes de hoje e o sistema pode ser MENOR. Se o degrau for outra coisa e o carro ainda vai entrar, o</t>
  </si>
  <si>
    <t xml:space="preserve">consumo sobe para a faixa de 590 a 765 kWh/mes. A diferenca entre os dois casos e de 2 a 3 placas.</t>
  </si>
  <si>
    <t xml:space="preserve">IRRADIACAO E GERACAO POR kWp - REGIAO METROPOLITANA NORTE DE SAO PAULO</t>
  </si>
  <si>
    <t xml:space="preserve">HSP estimada para a regiao. CONFIRMAR no CRESESB ou PVGIS com o CEP exato. Fatores de transposicao calculados para latitude -23,3 graus.</t>
  </si>
  <si>
    <t xml:space="preserve">HSP horizontal (kWh/m2.dia)</t>
  </si>
  <si>
    <t xml:space="preserve">Fator SE 20 graus</t>
  </si>
  <si>
    <t xml:space="preserve">HSP plano SE</t>
  </si>
  <si>
    <t xml:space="preserve">Fator Norte 20 graus</t>
  </si>
  <si>
    <t xml:space="preserve">HSP plano Norte</t>
  </si>
  <si>
    <t xml:space="preserve">Geracao/kWp SE (kWh/mes)</t>
  </si>
  <si>
    <t xml:space="preserve">Geracao/kWp Norte (kWh/mes)</t>
  </si>
  <si>
    <t xml:space="preserve">Perda por ser SE</t>
  </si>
  <si>
    <t xml:space="preserve">ANO</t>
  </si>
  <si>
    <t xml:space="preserve">MEDIA MES</t>
  </si>
  <si>
    <t xml:space="preserve">A COLUNA I E A CHAVE DE TODA A PLANILHA: quantos kWh cada 1 kWp gera por mes no SEU telhado (Sudeste, 20 graus).</t>
  </si>
  <si>
    <t xml:space="preserve">A coluna J mostra o que geraria num telhado Norte. A coluna K e a perda por estar voltado ao Sudeste.</t>
  </si>
  <si>
    <t xml:space="preserve">COMPARACAO DIRETA COM O QUE OS VENDEDORES PROMETERAM (celula I17 x J17):</t>
  </si>
  <si>
    <t xml:space="preserve">  TecSolarSP: 10.554 kWh/ano / 7,38 kWp = 1.430 kWh por kWp. Praticamente identico ao valor NORTE (J17).</t>
  </si>
  <si>
    <t xml:space="preserve">     Eles declaram o telhado como SUDESTE na propria peca publicitaria. A promessa nao fecha com a orientacao declarada.</t>
  </si>
  <si>
    <t xml:space="preserve">  SunWash: o anuncio diz textualmente 'CALCULO CONSIDERANDO NORTE DO TELHADO' e vale para Ribeirao Preto ate 80 km.</t>
  </si>
  <si>
    <t xml:space="preserve">     Ribeirao Preto tem irradiacao maior que Sao Paulo. Sao dois desvios somados a favor do vendedor.</t>
  </si>
  <si>
    <t xml:space="preserve">  William: usou HSP fixa de 4,5 h/dia e 30% de perdas (PR 0,70), chegando a 1.150 kWh por kWp. E o mais CONSERVADOR</t>
  </si>
  <si>
    <t xml:space="preserve">     dos tres - abaixo do valor calculado aqui. A proposta dele erra por seguranca, nao por exagero.</t>
  </si>
  <si>
    <t xml:space="preserve">CONSEQUENCIA PRATICA DO TELHADO SUDESTE: a geracao se concentra na MANHA e cai a tarde.</t>
  </si>
  <si>
    <t xml:space="preserve">  Isso favorece carregar o BYD entre 8h e 14h. Desfavorece consumo concentrado no fim da tarde e na noite.</t>
  </si>
  <si>
    <t xml:space="preserve">SENSIBILIDADE: com PR de 0,72 (telhado mais sujo, mais quente ou com sombra parcial) a geracao cai cerca de 9%.</t>
  </si>
  <si>
    <t xml:space="preserve">  A aba COMPARATIVO mostra as duas linhas - realista e conservadora - para voce ver o pior caso.</t>
  </si>
  <si>
    <t xml:space="preserve">CONSUMO DO BYD HIBRIDO, CARREGADOR E CENARIOS DE CONSUMO</t>
  </si>
  <si>
    <t xml:space="preserve">TODOS os dados do veiculo sao ESTIMATIVA - voce ainda nao informou modelo, km/dia nem horario. kW = potencia. kWh = energia.</t>
  </si>
  <si>
    <t xml:space="preserve">1) ENERGIA QUE O CARRO PRECISA (na bateria)</t>
  </si>
  <si>
    <t xml:space="preserve">Distancia por dia</t>
  </si>
  <si>
    <t xml:space="preserve">ESTIMATIVA - o dado que mais muda o resultado</t>
  </si>
  <si>
    <t xml:space="preserve">ESTIMATIVA de uso real em modo eletrico</t>
  </si>
  <si>
    <t xml:space="preserve">Energia na bateria por dia = MENOR entre o que voce roda e o que voce recarrega</t>
  </si>
  <si>
    <t xml:space="preserve">Roda 80 km = demanda 12,80 kWh/dia. Uma carga de 50% repoe 6,45 kWh/dia. Vale o MENOR: o carro so usa da bateria o que foi reposto</t>
  </si>
  <si>
    <t xml:space="preserve">ESTIMATIVA</t>
  </si>
  <si>
    <t xml:space="preserve">ENERGIA NECESSARIA PARA O VEICULO POR MES</t>
  </si>
  <si>
    <t xml:space="preserve">Energia UTIL na bateria, ANTES das perdas de carregamento</t>
  </si>
  <si>
    <t xml:space="preserve">2) ENERGIA QUE SAI DA REDE (o que o medidor registra)</t>
  </si>
  <si>
    <t xml:space="preserve">86% adotado: 14% se perde no carregador AC, no BMS e em calor</t>
  </si>
  <si>
    <t xml:space="preserve">ENERGIA EFETIVAMENTE CONSUMIDA DA REDE PARA CARREGAR</t>
  </si>
  <si>
    <t xml:space="preserve">ESTE e o numero que entra na conta de luz e no dimensionamento</t>
  </si>
  <si>
    <t xml:space="preserve">Perda de carregamento (energia paga que nao roda)</t>
  </si>
  <si>
    <t xml:space="preserve">Desperdicio inevitavel do processo de carga</t>
  </si>
  <si>
    <t xml:space="preserve">Custo do carro na conta de luz SEM solar</t>
  </si>
  <si>
    <t xml:space="preserve">Tarifa real de R$ 1,0215/kWh</t>
  </si>
  <si>
    <t xml:space="preserve">Custo anual do carro SEM solar</t>
  </si>
  <si>
    <t xml:space="preserve">Custo do carro na conta COM solar (so o Fio B)</t>
  </si>
  <si>
    <t xml:space="preserve">Compensado por credito: paga-se apenas 60% da TUSD Fio B em 2026</t>
  </si>
  <si>
    <t xml:space="preserve">ECONOMIA MENSAL SO NO CARREGAMENTO DO BYD</t>
  </si>
  <si>
    <t xml:space="preserve">Este e o item de maior retorno do projeto</t>
  </si>
  <si>
    <t xml:space="preserve">Economia anual so no carregamento do BYD</t>
  </si>
  <si>
    <t xml:space="preserve">Custo por km em modo eletrico SEM solar</t>
  </si>
  <si>
    <t xml:space="preserve">R$/km</t>
  </si>
  <si>
    <t xml:space="preserve">Comparar com o custo por km na gasolina</t>
  </si>
  <si>
    <t xml:space="preserve">Custo por km em modo eletrico COM solar</t>
  </si>
  <si>
    <t xml:space="preserve">Rodar praticamente de graca</t>
  </si>
  <si>
    <t xml:space="preserve">3) POTENCIA x ENERGIA - CARREGADOR (nao confundir kW com kWh)</t>
  </si>
  <si>
    <t xml:space="preserve">Potencia do carregador</t>
  </si>
  <si>
    <t xml:space="preserve">POTENCIA: define corrente, bitola do cabo e disjuntor</t>
  </si>
  <si>
    <t xml:space="preserve">Tempo de carga por dia  =  energia do dia / potencia</t>
  </si>
  <si>
    <t xml:space="preserve">horas/dia</t>
  </si>
  <si>
    <t xml:space="preserve">ENERGIA (kWh) dividida por POTENCIA (kW) = TEMPO (h)</t>
  </si>
  <si>
    <t xml:space="preserve">Tempo para carga completa 0-100%</t>
  </si>
  <si>
    <t xml:space="preserve">horas</t>
  </si>
  <si>
    <t xml:space="preserve">Bateria inteira partindo de vazia</t>
  </si>
  <si>
    <t xml:space="preserve">Corrente do carregador em 220 V</t>
  </si>
  <si>
    <t xml:space="preserve">A</t>
  </si>
  <si>
    <t xml:space="preserve">Corrente nominal de operacao</t>
  </si>
  <si>
    <t xml:space="preserve">Disjuntor do circuito (125% da corrente - NBR 5410)</t>
  </si>
  <si>
    <t xml:space="preserve">Carga continua: circuito dimensionado a 125%</t>
  </si>
  <si>
    <t xml:space="preserve">Energia entregue em 1 hora de carregador ligado</t>
  </si>
  <si>
    <t xml:space="preserve">EXEMPLO DA LOGICA: 7,4 kW x 3 h = 22,2 kWh</t>
  </si>
  <si>
    <t xml:space="preserve">4) CENARIOS DE CONSUMO</t>
  </si>
  <si>
    <t xml:space="preserve">Cenario</t>
  </si>
  <si>
    <t xml:space="preserve">Residencia (kWh/mes)</t>
  </si>
  <si>
    <t xml:space="preserve">BYD (kWh/mes)</t>
  </si>
  <si>
    <t xml:space="preserve">Margem (kWh/mes)</t>
  </si>
  <si>
    <t xml:space="preserve">CONSUMO TOTAL (kWh/mes)</t>
  </si>
  <si>
    <t xml:space="preserve">Consumo anual (kWh)</t>
  </si>
  <si>
    <t xml:space="preserve">1 - So a residencia (base pura, sem o carro)</t>
  </si>
  <si>
    <t xml:space="preserve">2 - RESIDENCIA + BYD tudo no eletrico</t>
  </si>
  <si>
    <t xml:space="preserve">3 - RESIDENCIA + BYD + CRESCIMENTO</t>
  </si>
  <si>
    <t xml:space="preserve">5) DIA x NOITE - ONDE CARREGAR COMPENSA MAIS</t>
  </si>
  <si>
    <t xml:space="preserve">Estrategia</t>
  </si>
  <si>
    <t xml:space="preserve">Como funciona</t>
  </si>
  <si>
    <t xml:space="preserve">Custo por kWh</t>
  </si>
  <si>
    <t xml:space="preserve">Custo mensal do carro</t>
  </si>
  <si>
    <t xml:space="preserve">Vantagem</t>
  </si>
  <si>
    <t xml:space="preserve">Desvantagem</t>
  </si>
  <si>
    <t xml:space="preserve">Carregar de DIA (8h as 14h)</t>
  </si>
  <si>
    <t xml:space="preserve">Autoconsumo instantaneo: a energia vai do painel direto para o carro</t>
  </si>
  <si>
    <t xml:space="preserve">Nao passa pelo medidor: nao paga Fio B, nao paga nada</t>
  </si>
  <si>
    <t xml:space="preserve">Precisa que o carro esteja em casa de manha. Telhado SE gera mais de manha - combina bem</t>
  </si>
  <si>
    <t xml:space="preserve">Carregar a NOITE</t>
  </si>
  <si>
    <t xml:space="preserve">A geracao do dia vira credito e a noite o credito e usado</t>
  </si>
  <si>
    <t xml:space="preserve">Comodidade: chega, pluga e dorme</t>
  </si>
  <si>
    <t xml:space="preserve">Paga o Fio B sobre tudo o que foi compensado. Em 2026 sao 60% da TUSD, em 2029 sera 100%</t>
  </si>
  <si>
    <t xml:space="preserve">Carregar SEM energia solar</t>
  </si>
  <si>
    <t xml:space="preserve">Tarifa cheia da Enel</t>
  </si>
  <si>
    <t xml:space="preserve">Nenhuma</t>
  </si>
  <si>
    <t xml:space="preserve">Custo maximo</t>
  </si>
  <si>
    <t xml:space="preserve">Ganho anual de carregar de DIA em vez de a NOITE:</t>
  </si>
  <si>
    <t xml:space="preserve">R$/ano. Parece pouco hoje porque o Fio B esta em 60%. Em 2029 sera 100% e esse ganho quase dobra.</t>
  </si>
  <si>
    <t xml:space="preserve">RECOMENDACAO: programar o carregamento do veiculo para iniciar entre 9h e 10h nos dias em que o carro ficar em casa.</t>
  </si>
  <si>
    <t xml:space="preserve">O app do BYD permite agendar horario de carga. Vale a pena usar, e o ganho cresce todo ano com a regra do Fio B.</t>
  </si>
  <si>
    <t xml:space="preserve">6) QUAL VAI SER O MEU CONSUMO? OS DOIS CAMINHOS POSSIVEIS</t>
  </si>
  <si>
    <t xml:space="preserve">Base residencial PURA (10 meses estaveis, antes do degrau)</t>
  </si>
  <si>
    <t xml:space="preserve">Consumo ATUAL medido (ultimos 3 meses, ja com o degrau)</t>
  </si>
  <si>
    <t xml:space="preserve">Degrau detectado na conta</t>
  </si>
  <si>
    <t xml:space="preserve">Quilometragem do BYD</t>
  </si>
  <si>
    <t xml:space="preserve">km/dia aprox.</t>
  </si>
  <si>
    <t xml:space="preserve">kWh/mes da rede so do carro</t>
  </si>
  <si>
    <t xml:space="preserve">CASO A: o degrau JA e o carro -&gt; total</t>
  </si>
  <si>
    <t xml:space="preserve">kWp necessario (+10%)</t>
  </si>
  <si>
    <t xml:space="preserve">CASO B: o carro ainda vai entrar -&gt; total</t>
  </si>
  <si>
    <t xml:space="preserve">CASO A (coluna E): o degrau de maio/26 JA e o carregamento do carro. Entao a residencia pura consome 352 kWh/mes</t>
  </si>
  <si>
    <t xml:space="preserve">   e o total futuro e 352 + o carro na quilometragem que voce realmente rodar. NAO some o degrau duas vezes.</t>
  </si>
  <si>
    <t xml:space="preserve">CASO B (coluna G): o degrau foi outra carga (ar-condicionado, mais gente em casa) e o carro ainda vai entrar.</t>
  </si>
  <si>
    <t xml:space="preserve">   Entao a base e o consumo atual de 468 kWh/mes e o carro soma por cima.</t>
  </si>
  <si>
    <t xml:space="preserve">A linha de 600 km/mes e a que corresponde ao degrau medido na conta. Se for esse o seu caso e o carro ja carrega,</t>
  </si>
  <si>
    <t xml:space="preserve">voce precisa de cerca de 4,9 kWp - e nao dos 6,2 a 6,8 kWp que os orcamentos estao oferecendo.</t>
  </si>
  <si>
    <t xml:space="preserve">Isso vale de 2 a 3 placas de diferenca, ou algo entre R$ 3 mil e R$ 5 mil.</t>
  </si>
  <si>
    <t xml:space="preserve">COMO RESOLVER SEM ADIVINHAR: o app do BYD mostra a quilometragem rodada e o consumo em modo eletrico.</t>
  </si>
  <si>
    <t xml:space="preserve">Olhe o total de km do mes e quanto rodou em eletrico. Com esse numero a coluna certa desta tabela aparece sozinha.</t>
  </si>
  <si>
    <t xml:space="preserve">7) LIMITE FISICO DA BATERIA - DA PARA RODAR 80 km/dia SO NO ELETRICO?</t>
  </si>
  <si>
    <t xml:space="preserve">Bateria nominal do Song Pro DM-i</t>
  </si>
  <si>
    <t xml:space="preserve">ESTIMATIVA a confirmar no manual</t>
  </si>
  <si>
    <t xml:space="preserve">Reserva mantida para o modo hibrido</t>
  </si>
  <si>
    <t xml:space="preserve">O DM-i nao esvazia a bateria - guarda reserva para rodar como hibrido</t>
  </si>
  <si>
    <t xml:space="preserve">Energia UTIL por carga (na bateria)</t>
  </si>
  <si>
    <t xml:space="preserve">E o que sobra para rodar em modo eletrico</t>
  </si>
  <si>
    <t xml:space="preserve">Energia da REDE por carga completa</t>
  </si>
  <si>
    <t xml:space="preserve">Inclui as perdas de carregamento</t>
  </si>
  <si>
    <t xml:space="preserve">KM COBERTOS POR UMA CARGA</t>
  </si>
  <si>
    <t xml:space="preserve">km</t>
  </si>
  <si>
    <t xml:space="preserve">Autonomia eletrica real por carga</t>
  </si>
  <si>
    <t xml:space="preserve">km/dia que voce roda</t>
  </si>
  <si>
    <t xml:space="preserve">Informado: 80 km/dia</t>
  </si>
  <si>
    <t xml:space="preserve">CARGAS NECESSARIAS POR DIA</t>
  </si>
  <si>
    <t xml:space="preserve">Acima de 1 significa que uma carga em casa NAO cobre o dia</t>
  </si>
  <si>
    <t xml:space="preserve">km/dia que ficam na GASOLINA com uma carga so</t>
  </si>
  <si>
    <t xml:space="preserve">Energia que o sistema solar NAO substitui</t>
  </si>
  <si>
    <t xml:space="preserve">Tempo total de carga por dia no carregador de 3,3 kW</t>
  </si>
  <si>
    <t xml:space="preserve">Somando as duas sessoes. Nao e o gargalo - o gargalo e o carro estar plugado duas vezes</t>
  </si>
  <si>
    <t xml:space="preserve">8) ESTRATEGIAS DE CARREGAMENTO E O SISTEMA QUE CADA UMA EXIGE</t>
  </si>
  <si>
    <t xml:space="preserve">Estrategia de carregamento</t>
  </si>
  <si>
    <t xml:space="preserve">kWh/dia da rede</t>
  </si>
  <si>
    <t xml:space="preserve">kWh/mes da rede</t>
  </si>
  <si>
    <t xml:space="preserve">Consumo TOTAL (base 352 + carro)</t>
  </si>
  <si>
    <t xml:space="preserve">Modulos de 650 W</t>
  </si>
  <si>
    <t xml:space="preserve">1 - Uma carga por dia em casa (limite da bateria)</t>
  </si>
  <si>
    <t xml:space="preserve">cobre ~60 dos 80 km; o resto na gasolina</t>
  </si>
  <si>
    <t xml:space="preserve">2 - DUAS cargas por dia: 80 km TODO ELETRICO</t>
  </si>
  <si>
    <t xml:space="preserve">E O SEU OBJETIVO. Exige o carro plugado duas vezes ao dia</t>
  </si>
  <si>
    <t xml:space="preserve">3 - Carga parcial de hoje (o degrau da conta)</t>
  </si>
  <si>
    <t xml:space="preserve">E o que a conta mostra acontecendo hoje: so ~19 km/dia de carga</t>
  </si>
  <si>
    <t xml:space="preserve">4 - SEU PADRAO REAL: 1 carga/dia repondo 50%, 30 dias</t>
  </si>
  <si>
    <t xml:space="preserve">E O CENARIO ADOTADO NA PLANILHA. Cobre ~40 dos 80 km/dia; o resto vai na gasolina</t>
  </si>
  <si>
    <t xml:space="preserve">O ACHADO MAIS IMPORTANTE DESTE BLOCO:</t>
  </si>
  <si>
    <t xml:space="preserve">O Song Pro DM-i tem bateria de 12,9 kWh. Descontando a reserva que o carro guarda para operar como hibrido,</t>
  </si>
  <si>
    <t xml:space="preserve">sobram cerca de 9,7 kWh uteis por carga, o que rende aproximadamente 60 km de autonomia eletrica.</t>
  </si>
  <si>
    <t xml:space="preserve">Voce roda 80 km/dia. Portanto UMA carga em casa NAO cobre o seu dia - faltam uns 20 km, que vao na gasolina.</t>
  </si>
  <si>
    <t xml:space="preserve">Para rodar TUDO no eletrico voce precisa de DUAS sessoes de carga por dia. Isso significa uma destas rotinas:</t>
  </si>
  <si>
    <t xml:space="preserve">  (a) carregar de madrugada e novamente quando voltar para casa no meio do dia; ou</t>
  </si>
  <si>
    <t xml:space="preserve">  (b) carregar em casa e uma segunda vez no trabalho ou em eletroposto.</t>
  </si>
  <si>
    <t xml:space="preserve">O tempo nao e o problema: 4,5 h somadas no carregador de 3,3 kW. O problema e o carro estar plugado duas vezes.</t>
  </si>
  <si>
    <t xml:space="preserve">SE A SUA ROTINA E SAIR E SO VOLTAR NO FIM DO DIA, os 80 km todo eletrico NAO sao possiveis carregando so em casa,</t>
  </si>
  <si>
    <t xml:space="preserve">por mais placas que voce instale. Nesse caso o cenario realista e a Estrategia 1, com ~20 km/dia na gasolina.</t>
  </si>
  <si>
    <t xml:space="preserve">CONSEQUENCIA PARA O DIMENSIONAMENTO: a Estrategia 2 exige de 12 a 13 modulos de 650 W (cerca de 7,7 a 8,5 kWp).</t>
  </si>
  <si>
    <t xml:space="preserve">TODOS os dez orcamentos da planilha estao subdimensionados para esse objetivo - o maior deles tem 7,38 kWp.</t>
  </si>
  <si>
    <t xml:space="preserve">OPORTUNIDADE: como voce vai carregar duas vezes ao dia, uma das sessoes pode ficar entre 9h e 15h, em cima da</t>
  </si>
  <si>
    <t xml:space="preserve">geracao solar. Isso e autoconsumo instantaneo - nao passa pelo medidor e nao paga Fio B. A premissa de 30% de</t>
  </si>
  <si>
    <t xml:space="preserve">autoconsumo da aba ENTRADAS fica conservadora: com carga diurna do carro ela pode chegar a 45% ou 50%,</t>
  </si>
  <si>
    <t xml:space="preserve">e a economia sobe. Vale carregar de dia sempre que o carro estiver em casa.</t>
  </si>
  <si>
    <t xml:space="preserve">9) ELETRICO x GASOLINA - VALE A PENA CARREGAR DUAS VEZES POR DIA?</t>
  </si>
  <si>
    <t xml:space="preserve">Km rodados por mes</t>
  </si>
  <si>
    <t xml:space="preserve">80 km/dia x 30 dias</t>
  </si>
  <si>
    <t xml:space="preserve">Km rodados em modo ELETRICO por mes</t>
  </si>
  <si>
    <t xml:space="preserve">Limitado pela energia reposta nas cargas</t>
  </si>
  <si>
    <t xml:space="preserve">Km rodados na GASOLINA por mes</t>
  </si>
  <si>
    <t xml:space="preserve">O que a bateria nao cobriu</t>
  </si>
  <si>
    <t xml:space="preserve">Percentual do trajeto em modo eletrico</t>
  </si>
  <si>
    <t xml:space="preserve">Com uma carga de 50% por dia fica em torno da metade</t>
  </si>
  <si>
    <t xml:space="preserve">Litros de gasolina por mes</t>
  </si>
  <si>
    <t xml:space="preserve">litros</t>
  </si>
  <si>
    <t xml:space="preserve">ESTIMATIVA: 16 km/l em modo hibrido</t>
  </si>
  <si>
    <t xml:space="preserve">CUSTO MENSAL DE GASOLINA</t>
  </si>
  <si>
    <t xml:space="preserve">ESTIMATIVA. Este custo o sistema solar NAO reduz</t>
  </si>
  <si>
    <t xml:space="preserve">Energia da rede se carregasse 2x/dia (tudo eletrico)</t>
  </si>
  <si>
    <t xml:space="preserve">Cobre os 2.400 km no eletrico</t>
  </si>
  <si>
    <t xml:space="preserve">Energia ADICIONAL necessaria (2x/dia menos 1x/dia)</t>
  </si>
  <si>
    <t xml:space="preserve">Quanto mais a casa consumiria</t>
  </si>
  <si>
    <t xml:space="preserve">Custo dessa energia adicional COM energia solar</t>
  </si>
  <si>
    <t xml:space="preserve">Compensada por credito: paga-se apenas o Fio B</t>
  </si>
  <si>
    <t xml:space="preserve">GANHO LIQUIDO DE CARREGAR 2x/DIA</t>
  </si>
  <si>
    <t xml:space="preserve">Gasolina economizada menos a energia extra</t>
  </si>
  <si>
    <t xml:space="preserve">Ganho anual</t>
  </si>
  <si>
    <t xml:space="preserve">kWp adicionais para suportar o carregamento 2x/dia</t>
  </si>
  <si>
    <t xml:space="preserve">kWp</t>
  </si>
  <si>
    <t xml:space="preserve">Potencia extra que o sistema precisaria ter</t>
  </si>
  <si>
    <t xml:space="preserve">Modulos de 650 W adicionais</t>
  </si>
  <si>
    <t xml:space="preserve">modulos</t>
  </si>
  <si>
    <t xml:space="preserve">Custo desses modulos adicionais</t>
  </si>
  <si>
    <t xml:space="preserve">Ao custo marginal estimado de R$ 900 por modulo</t>
  </si>
  <si>
    <t xml:space="preserve">PAYBACK DO INCREMENTO, EM MESES</t>
  </si>
  <si>
    <t xml:space="preserve">meses</t>
  </si>
  <si>
    <t xml:space="preserve">Quanto tempo os modulos extras levam para se pagar SO na gasolina economizada</t>
  </si>
  <si>
    <t xml:space="preserve">O QUE ESTE BLOCO MOSTRA:</t>
  </si>
  <si>
    <t xml:space="preserve">Carregando uma vez por dia e repondo 50% da bateria, cerca de metade dos seus 2.400 km/mes roda no eletrico</t>
  </si>
  <si>
    <t xml:space="preserve">e a outra metade na gasolina. O sistema solar nao toca nessa metade - combustivel nao entra na compensacao de energia.</t>
  </si>
  <si>
    <t xml:space="preserve">Se voce conseguir carregar DUAS vezes por dia, a energia extra da rede custa muito pouco quando ha energia solar</t>
  </si>
  <si>
    <t xml:space="preserve">(paga-se so o Fio B), enquanto a gasolina economizada e um valor grande. O bloco calcula os dois lados e diz</t>
  </si>
  <si>
    <t xml:space="preserve">em quantos MESES os modulos adicionais se pagam apenas com a gasolina que voce deixaria de comprar.</t>
  </si>
  <si>
    <t xml:space="preserve">ATENCAO AS ESTIMATIVAS DESTE BLOCO: o consumo de 16 km/l em modo hibrido e o preco de R$ 6,20/litro sao premissas</t>
  </si>
  <si>
    <t xml:space="preserve">minhas, editaveis em ENTRADAS C61 e C62. O resultado e sensivel a elas - confira com o consumo real do seu carro.</t>
  </si>
  <si>
    <t xml:space="preserve">E lembre: carregar 2x/dia exige o carro plugado duas vezes, o que depende da sua rotina, nao do sistema solar.</t>
  </si>
  <si>
    <t xml:space="preserve">DIMENSIONAMENTO CORRETO - QUANTO VOCE REALMENTE PRECISA</t>
  </si>
  <si>
    <t xml:space="preserve">Calculado a partir do consumo projetado, da irradiacao local, das perdas do sistema e da margem tecnica. Nao por regra de bolo.</t>
  </si>
  <si>
    <t xml:space="preserve">A) MEMORIA DE CALCULO</t>
  </si>
  <si>
    <t xml:space="preserve">Geracao anual por kWp no seu telhado SE</t>
  </si>
  <si>
    <t xml:space="preserve">kWh por kWp por ano</t>
  </si>
  <si>
    <t xml:space="preserve">Geracao mensal por kWp no seu telhado SE</t>
  </si>
  <si>
    <t xml:space="preserve">kWh por kWp por mes</t>
  </si>
  <si>
    <t xml:space="preserve">Formula usada</t>
  </si>
  <si>
    <t xml:space="preserve">B) kWp NECESSARIO EM CADA CENARIO</t>
  </si>
  <si>
    <t xml:space="preserve">Consumo (kWh/mes)</t>
  </si>
  <si>
    <t xml:space="preserve">Consumo (kWh/ano)</t>
  </si>
  <si>
    <t xml:space="preserve">kWp necessario</t>
  </si>
  <si>
    <t xml:space="preserve">Modulos de 615 W</t>
  </si>
  <si>
    <t xml:space="preserve">1 - Atual (so residencia)</t>
  </si>
  <si>
    <t xml:space="preserve">2 - Residencia + BYD</t>
  </si>
  <si>
    <t xml:space="preserve">3 - Residencia + BYD + crescimento</t>
  </si>
  <si>
    <t xml:space="preserve">C) AS TRES OPCOES DE PROJETO (com modulos de 615 W)</t>
  </si>
  <si>
    <t xml:space="preserve">OPCAO A - ECONOMICO</t>
  </si>
  <si>
    <t xml:space="preserve">OPCAO B - IDEAL</t>
  </si>
  <si>
    <t xml:space="preserve">OPCAO C - COM EXPANSAO</t>
  </si>
  <si>
    <t xml:space="preserve">Meta de atendimento</t>
  </si>
  <si>
    <t xml:space="preserve">kWp alvo</t>
  </si>
  <si>
    <t xml:space="preserve">Quantidade de modulos de 615 W</t>
  </si>
  <si>
    <t xml:space="preserve">Potencia instalada real (kWp)</t>
  </si>
  <si>
    <t xml:space="preserve">Inversor recomendado (kW)</t>
  </si>
  <si>
    <t xml:space="preserve">Relacao DC/AC</t>
  </si>
  <si>
    <t xml:space="preserve">Geracao anual estimada (kWh)</t>
  </si>
  <si>
    <t xml:space="preserve">Geracao media mensal (kWh)</t>
  </si>
  <si>
    <t xml:space="preserve">% do Cenario 2 atendido</t>
  </si>
  <si>
    <t xml:space="preserve">% do Cenario 3 atendido</t>
  </si>
  <si>
    <t xml:space="preserve">Excedente anual desperdicado (kWh)</t>
  </si>
  <si>
    <t xml:space="preserve">D) RECOMENDACAO DE DIMENSIONAMENTO</t>
  </si>
  <si>
    <t xml:space="preserve">A OPCAO B e a recomendada. Motivos tecnicos:</t>
  </si>
  <si>
    <t xml:space="preserve">1. Ela atende o Cenario 3, que e o unico realista: residencia + carro + margem. A Opcao A cobre o carro de hoje mas</t>
  </si>
  <si>
    <t xml:space="preserve">   nao sobra nada para o crescimento que a propria conta ja mostra (+22% em 6 meses).</t>
  </si>
  <si>
    <t xml:space="preserve">2. Ela nao joga dinheiro fora. Passar do Cenario 3 gera excedente que vira credito e expira em 60 meses - a linha 27</t>
  </si>
  <si>
    <t xml:space="preserve">   mostra esse desperdicio. Cada kWh gerado acima do consumo tem retorno praticamente zero.</t>
  </si>
  <si>
    <t xml:space="preserve">3. O inversor de 6 kW da Opcao B ainda aceita cerca de 8,1 kWp (limite DC/AC de 1,35), ou seja, permite acrescentar</t>
  </si>
  <si>
    <t xml:space="preserve">   modulos depois sem trocar o inversor e sem refazer a homologacao. Isso e a expansao futura barata.</t>
  </si>
  <si>
    <t xml:space="preserve">4. A Opcao C so se justifica se voce souber HOJE que a quilometragem do carro vai crescer muito, ou se pretende</t>
  </si>
  <si>
    <t xml:space="preserve">   instalar ar-condicionado, piscina aquecida ou um segundo veiculo eletrico.</t>
  </si>
  <si>
    <t xml:space="preserve">ATENCAO: os numeros acima dependem de km/dia do BYD, que ainda e ESTIMATIVA. Se voce rodar 20 km/dia em vez de 40,</t>
  </si>
  <si>
    <t xml:space="preserve">o kWp necessario cai cerca de 1,3 kWp (2 modulos). Se rodar 60 km/dia, sobe cerca de 1,3 kWp. Informe a km real.</t>
  </si>
  <si>
    <t xml:space="preserve">COMPARATIVO DOS ORCAMENTOS - QUADRO PRINCIPAL</t>
  </si>
  <si>
    <t xml:space="preserve">Contatos nas linhas 5 a 7. Colunas A e B: TecSolarSP, preco de MATERIAL. As demais: preco INSTALADO. A linha do PRECO TOTAL INSTALADO e a unica comparavel entre todos.</t>
  </si>
  <si>
    <t xml:space="preserve">ITEM</t>
  </si>
  <si>
    <t xml:space="preserve">A) TecSolarSP
JA Solar 615W
Huawei 6 kW</t>
  </si>
  <si>
    <t xml:space="preserve">B) TecSolarSP
Astronergy 605W
Huawei 6 kW</t>
  </si>
  <si>
    <t xml:space="preserve">C) SunWash
TCL 620W
AUXSOL 5 kW</t>
  </si>
  <si>
    <t xml:space="preserve">D) SunWash
TCL 620W
HUAWEI 5 kW</t>
  </si>
  <si>
    <t xml:space="preserve">E) William
Maxeon 535W
Solis 4 kW</t>
  </si>
  <si>
    <t xml:space="preserve">F) Sun Coast v1
RONMA 585W
AUXSOL 3 kW
(SUPERADA)</t>
  </si>
  <si>
    <t xml:space="preserve">G) SunWash
MICRO 10x650W
4x 2,25 kW</t>
  </si>
  <si>
    <t xml:space="preserve">H) Sfero (Renato)
Longi/DAH 590W
2x micro 2,5 kW</t>
  </si>
  <si>
    <t xml:space="preserve">I) Sun Coast v2
TCL 620W x11
AUXSOL 7,5 kW</t>
  </si>
  <si>
    <t xml:space="preserve">J) AD BioSolar
JA Solar 615W x10
Huawei SUN2000-6KTL-L1</t>
  </si>
  <si>
    <t xml:space="preserve">SIMULACAO G12
MICRO 12x650W
4x Deye 2,25 kW</t>
  </si>
  <si>
    <t xml:space="preserve">SIMULACAO G14
MICRO 14x650W
4x Deye 2,25 kW</t>
  </si>
  <si>
    <t xml:space="preserve">M) Bruno G4
(a receber)</t>
  </si>
  <si>
    <t xml:space="preserve">OBSERVACOES / ALERTAS</t>
  </si>
  <si>
    <t xml:space="preserve">EMPRESA / razao social</t>
  </si>
  <si>
    <t xml:space="preserve">TecSolarSP</t>
  </si>
  <si>
    <t xml:space="preserve">SunWash Energia Solar e Ar-Condicionado</t>
  </si>
  <si>
    <t xml:space="preserve">nao informada na proposta</t>
  </si>
  <si>
    <t xml:space="preserve">Sun Coast Materiais Eletricos e Energia Solar</t>
  </si>
  <si>
    <t xml:space="preserve">Sfero</t>
  </si>
  <si>
    <t xml:space="preserve">AD BioSolar</t>
  </si>
  <si>
    <t xml:space="preserve">SunWash - SIMULACAO, preco a confirmar</t>
  </si>
  <si>
    <t xml:space="preserve">G4 (razao social a confirmar)</t>
  </si>
  <si>
    <t xml:space="preserve">ALERTA: SunWash, William e Sfero nao informaram razao social. Sem empresa identificada nao existe garantia exigivel.</t>
  </si>
  <si>
    <t xml:space="preserve">NOME DO RESPONSAVEL</t>
  </si>
  <si>
    <t xml:space="preserve">nao informado (razao social: Edijane Gomes dos Santos)</t>
  </si>
  <si>
    <t xml:space="preserve">Yuri</t>
  </si>
  <si>
    <t xml:space="preserve">William</t>
  </si>
  <si>
    <t xml:space="preserve">Alexandre</t>
  </si>
  <si>
    <t xml:space="preserve">nao informado (indicacao do Renato)</t>
  </si>
  <si>
    <t xml:space="preserve">Adriano Melo (proposta) / Carlos (negociacao)</t>
  </si>
  <si>
    <t xml:space="preserve">Bruno</t>
  </si>
  <si>
    <t xml:space="preserve">Quem falou com voce. Peca sempre que a proposta saia com nome e CNPJ da empresa, nao apenas o contato pessoal.</t>
  </si>
  <si>
    <t xml:space="preserve">TELEFONE DE CONTATO</t>
  </si>
  <si>
    <t xml:space="preserve">(11) 97365-9192</t>
  </si>
  <si>
    <t xml:space="preserve">(16) 99353-4346</t>
  </si>
  <si>
    <t xml:space="preserve">(11) 99636-5333</t>
  </si>
  <si>
    <t xml:space="preserve">(11) 91544-8947</t>
  </si>
  <si>
    <t xml:space="preserve">(11) 99705-1311 (Renato)</t>
  </si>
  <si>
    <t xml:space="preserve">(11) 97350-3103 / Carlos (11) 91408-8892</t>
  </si>
  <si>
    <t xml:space="preserve">(11) 96861-7830</t>
  </si>
  <si>
    <t xml:space="preserve">A Sfero chegou por indicacao do Renato - o telefone e dele, nao da empresa. Pedir o contato direto da Sfero.</t>
  </si>
  <si>
    <t xml:space="preserve">CNPJ informado na proposta</t>
  </si>
  <si>
    <t xml:space="preserve">29.775.600/0001-03</t>
  </si>
  <si>
    <t xml:space="preserve">NAO INFORMADO</t>
  </si>
  <si>
    <t xml:space="preserve">47.864.839/0001-31</t>
  </si>
  <si>
    <t xml:space="preserve">NAO INFORMADO na proposta</t>
  </si>
  <si>
    <t xml:space="preserve">64.313.573/0001-58</t>
  </si>
  <si>
    <t xml:space="preserve">ALERTA: so Sun Coast, AD BioSolar e TecSolarSP (via cotacao do distribuidor) tem CNPJ identificado.</t>
  </si>
  <si>
    <t xml:space="preserve">Documento recebido</t>
  </si>
  <si>
    <t xml:space="preserve">Cotacao Belenergy WEB-006506779</t>
  </si>
  <si>
    <t xml:space="preserve">Cotacao Belenergy WEB-006512519</t>
  </si>
  <si>
    <t xml:space="preserve">WhatsApp 10/08/2026</t>
  </si>
  <si>
    <t xml:space="preserve">Proposta tecnica de 7 paginas</t>
  </si>
  <si>
    <t xml:space="preserve">Proposta 40436 de 11/08/2026 (val. 20/08)</t>
  </si>
  <si>
    <t xml:space="preserve">WhatsApp 10/08/2026 17:45</t>
  </si>
  <si>
    <t xml:space="preserve">Proposta 0664/2026 de 11/08/2026 (val. 10 dias)</t>
  </si>
  <si>
    <t xml:space="preserve">Proposta 40438 de 11/08/2026 (val. 20/08)</t>
  </si>
  <si>
    <t xml:space="preserve">Proposta #01237 de 12/08/2026 (val. 27/08) - substitui a #01225</t>
  </si>
  <si>
    <t xml:space="preserve">SIMULACAO: opcao G escalada para 12 modulos</t>
  </si>
  <si>
    <t xml:space="preserve">SIMULACAO: opcao G escalada para 14 modulos</t>
  </si>
  <si>
    <t xml:space="preserve">Nada recebido</t>
  </si>
  <si>
    <t xml:space="preserve">ALERTA: orcamento por WhatsApp nao e proposta comercial. Sfero, Sun Coast, AD BioSolar e William entregaram documento formal.</t>
  </si>
  <si>
    <t xml:space="preserve">TIPO DE PRECO</t>
  </si>
  <si>
    <t xml:space="preserve">MATERIAL apenas</t>
  </si>
  <si>
    <t xml:space="preserve">INSTALADO (turnkey)</t>
  </si>
  <si>
    <t xml:space="preserve">?</t>
  </si>
  <si>
    <t xml:space="preserve">ALERTA: comparar MATERIAL com INSTALADO e o erro mais comum. As linhas de homologacao e instalacao corrigem isso.</t>
  </si>
  <si>
    <t xml:space="preserve">Quantidade de modulos</t>
  </si>
  <si>
    <t xml:space="preserve">Informada por cada fornecedor.</t>
  </si>
  <si>
    <t xml:space="preserve">Potencia por modulo (W)</t>
  </si>
  <si>
    <t xml:space="preserve">A SunWash escreveu '620kw' e '650w' - erro de digitacao para watts.</t>
  </si>
  <si>
    <t xml:space="preserve">Fabricante / tecnologia do modulo</t>
  </si>
  <si>
    <t xml:space="preserve">JA Solar bifacial N-type</t>
  </si>
  <si>
    <t xml:space="preserve">Astronergy bifacial N-type</t>
  </si>
  <si>
    <t xml:space="preserve">TCL 620 W (tecnologia a confirmar)</t>
  </si>
  <si>
    <t xml:space="preserve">Maxeon bifacial PERC</t>
  </si>
  <si>
    <t xml:space="preserve">RONMA SOLAR bifacial N-type 144 cel</t>
  </si>
  <si>
    <t xml:space="preserve">ZNShine ZXNR-MD132-650 N-type (Tier 1 BNEF)</t>
  </si>
  <si>
    <t xml:space="preserve">Longi ou DAH Solar (Tier 1 de verdade)</t>
  </si>
  <si>
    <t xml:space="preserve">TCL Solar bifacial N-type 132 cel</t>
  </si>
  <si>
    <t xml:space="preserve">JA Solar bifacial N-type 132 cel - TIER 1</t>
  </si>
  <si>
    <t xml:space="preserve">ALERTA: Maxeon do William e PERC, uma geracao atras. TCL e RONMA tem pouquissima rede de assistencia no Brasil. JA Solar, Longi e DAH sao Tier 1 com representacao aqui.</t>
  </si>
  <si>
    <t xml:space="preserve">POTENCIA DC (kWp)</t>
  </si>
  <si>
    <t xml:space="preserve">Quantidade x potencia do modulo / 1000.</t>
  </si>
  <si>
    <t xml:space="preserve">Inversor</t>
  </si>
  <si>
    <t xml:space="preserve">Huawei 6 kW mono 220V 2 MPPT</t>
  </si>
  <si>
    <t xml:space="preserve">AUXSOL 5 kW (modelo nao informado)</t>
  </si>
  <si>
    <t xml:space="preserve">HUAWEI 5 kW (modelo nao informado)</t>
  </si>
  <si>
    <t xml:space="preserve">Solis 4 kW mono 220V 2 MPPT</t>
  </si>
  <si>
    <t xml:space="preserve">AUXSOL 3 kW mono 220V 1 MPPT</t>
  </si>
  <si>
    <t xml:space="preserve">4x DEYE SUN-S225G4-EU-Q0 2,25 kW = 9,0 kW AC</t>
  </si>
  <si>
    <t xml:space="preserve">2x microinversor 2,5 kW = 5,0 kW AC - Solis ou Growatt</t>
  </si>
  <si>
    <t xml:space="preserve">AUXSOL 7,5 kW mono 220V 2 MPPT (100% over)</t>
  </si>
  <si>
    <t xml:space="preserve">HUAWEI SUN2000-6KTL-L1 6.000 W (modelo EXATO informado)</t>
  </si>
  <si>
    <t xml:space="preserve">4x DEYE SUN-S225G4-EU-Q0 = 9,0 kW AC (12 dos 16 canais)</t>
  </si>
  <si>
    <t xml:space="preserve">4x DEYE SUN-S225G4-EU-Q0 = 9,0 kW AC (14 dos 16 canais)</t>
  </si>
  <si>
    <t xml:space="preserve">ALERTA: AUXSOL tem baixa penetracao no Brasil. Huawei, Solis e Growatt tem assistencia estabelecida. So a AD BioSolar informou o MODELO EXATO.</t>
  </si>
  <si>
    <t xml:space="preserve">Potencia AC do inversor (kW)</t>
  </si>
  <si>
    <t xml:space="preserve">Exigir o codigo exato do modelo, como fez a AD BioSolar (SUN2000-5KTL-L1).</t>
  </si>
  <si>
    <t xml:space="preserve">Numero de MPPTs</t>
  </si>
  <si>
    <t xml:space="preserve">2</t>
  </si>
  <si>
    <t xml:space="preserve">a confirmar</t>
  </si>
  <si>
    <t xml:space="preserve">1</t>
  </si>
  <si>
    <t xml:space="preserve">4 por micro = 16 canais (10 usados, 6 livres)</t>
  </si>
  <si>
    <t xml:space="preserve">1 por modulo (10 MPPTs)</t>
  </si>
  <si>
    <t xml:space="preserve">2 (a confirmar)</t>
  </si>
  <si>
    <t xml:space="preserve">4 por micro = 16 canais (12 usados, 4 livres)</t>
  </si>
  <si>
    <t xml:space="preserve">4 por micro = 16 canais (14 usados, 2 livres)</t>
  </si>
  <si>
    <t xml:space="preserve">ALERTA: Sun Coast v1 usava 1 MPPT UNICO para 8 modulos. As opcoes com microinversor dao 1 MPPT POR MODULO: sombra em um modulo nao afeta os outros e permite usar mais de uma agua do telhado.</t>
  </si>
  <si>
    <t xml:space="preserve">RELACAO DC/AC</t>
  </si>
  <si>
    <t xml:space="preserve">ALERTA: faixa saudavel de 1,10 a 1,35. Sun Coast v1 em 1,56 = clipping e risco de perder garantia. Abaixo de 1,10 voce pagou por inversor que nao vai usar - aceitavel se for folga proposital para expansao.</t>
  </si>
  <si>
    <t xml:space="preserve">Tensao de operacao</t>
  </si>
  <si>
    <t xml:space="preserve">220 V (2 fases)</t>
  </si>
  <si>
    <t xml:space="preserve">220 V (a confirmar)</t>
  </si>
  <si>
    <t xml:space="preserve">ALERTA MAIOR: sua ligacao e MONOFASICA (127 V na Enel SP). TODOS exigem mudanca para bifasico.</t>
  </si>
  <si>
    <t xml:space="preserve">Tipo de telha que o orcamento considerou</t>
  </si>
  <si>
    <t xml:space="preserve">Fibrocimento</t>
  </si>
  <si>
    <t xml:space="preserve">nao informada</t>
  </si>
  <si>
    <t xml:space="preserve">Colonial</t>
  </si>
  <si>
    <t xml:space="preserve">Ceramico / colonial</t>
  </si>
  <si>
    <t xml:space="preserve">ALERTA: William, Sun Coast e Sfero dizem CERAMICA/COLONIAL; a TecSolarSP diz FIBROCIMENTO. Tres contra um. Se for ceramica, a estrutura das duas cotacoes da TecSolarSP esta errada. Uma foto resolve.</t>
  </si>
  <si>
    <t xml:space="preserve">Area de telhado necessaria (m2)</t>
  </si>
  <si>
    <t xml:space="preserve">Valores em azul foram DECLARADOS pelo fornecedor; os demais estimados a 0,00452 m2 por watt. Sem fotos do telhado NAO foi verificado se essa area existe na agua Sudeste.</t>
  </si>
  <si>
    <t xml:space="preserve">Garantia declarada do modulo</t>
  </si>
  <si>
    <t xml:space="preserve">25 anos eficiencia / 15 anos defeito</t>
  </si>
  <si>
    <t xml:space="preserve">nao declarada pelo vendedor - exigir por escrito (N-type costuma dar 12/25 a 30 anos)</t>
  </si>
  <si>
    <t xml:space="preserve">12 anos produto / 25 anos eficiencia</t>
  </si>
  <si>
    <t xml:space="preserve">15 anos defeito / 30 anos eficiencia</t>
  </si>
  <si>
    <t xml:space="preserve">exigir por escrito</t>
  </si>
  <si>
    <t xml:space="preserve">AD BioSolar tem a melhor: 30 anos de eficiencia e 15 de defeito. TecSolarSP, SunWash e William nao declararam nada.</t>
  </si>
  <si>
    <t xml:space="preserve">Garantia declarada do inversor</t>
  </si>
  <si>
    <t xml:space="preserve">10 a 25 anos</t>
  </si>
  <si>
    <t xml:space="preserve">nao declarada pelo vendedor - a Deye pratica 10 anos, exigir por escrito</t>
  </si>
  <si>
    <t xml:space="preserve">7 a 10 anos</t>
  </si>
  <si>
    <t xml:space="preserve">10 anos</t>
  </si>
  <si>
    <t xml:space="preserve">exigir por escrito (Deye pratica 10 anos)</t>
  </si>
  <si>
    <t xml:space="preserve">AD BioSolar declara 10 anos para um modelo Huawei nomeado - e a unica verificavel. '10 a 25 anos' da Sun Coast e vago.</t>
  </si>
  <si>
    <t xml:space="preserve">Garantia de servico / seguro</t>
  </si>
  <si>
    <t xml:space="preserve">12 meses</t>
  </si>
  <si>
    <t xml:space="preserve">1 ano instalacao + SEGURO ALL RISK 1 ano + GARANTIA DE PERFORMANCE EM CONTRATO</t>
  </si>
  <si>
    <t xml:space="preserve">vistoria tecnica, ART, licencas, gestao de obra e frete inclusos</t>
  </si>
  <si>
    <t xml:space="preserve">So a Sfero oferece seguro All Risk e garantia de performance em contrato. Isso vale dinheiro em risco.</t>
  </si>
  <si>
    <t xml:space="preserve">Exclusoes declaradas na proposta</t>
  </si>
  <si>
    <t xml:space="preserve">nao informadas</t>
  </si>
  <si>
    <t xml:space="preserve">padrao de entrada, obras civis, telhado, eletrodutos, ART estrutural</t>
  </si>
  <si>
    <t xml:space="preserve">obras civis, reformas no telhado/laje e no PADRAO DE ENTRADA</t>
  </si>
  <si>
    <t xml:space="preserve">alvenaria, reforco estrutural e alteracoes na rede pedidas pela concessionaria</t>
  </si>
  <si>
    <t xml:space="preserve">ALERTA: Sun Coast, Sfero e AD BioSolar excluem por escrito a adequacao do padrao. E honesto declarar, mas o custo e seu. Quem nao declarou exclusao tambem nao incluiu - so nao avisou.</t>
  </si>
  <si>
    <t xml:space="preserve">Condicao de pagamento declarada</t>
  </si>
  <si>
    <t xml:space="preserve">PIX (cotacao de material)</t>
  </si>
  <si>
    <t xml:space="preserve">a vista ou 21x COM juros</t>
  </si>
  <si>
    <t xml:space="preserve">PIX no kit; restante nao informado</t>
  </si>
  <si>
    <t xml:space="preserve">a vista, cartao 12x/21x COM juros ou financiamento 36x</t>
  </si>
  <si>
    <t xml:space="preserve">18x de R$ 932,25 SEM JUROS (= preco a vista)</t>
  </si>
  <si>
    <t xml:space="preserve">3x: 60% entrada / 20% montado / 20% ligado; ou Santander 60x R$ 553 ou 72x R$ 507</t>
  </si>
  <si>
    <t xml:space="preserve">a vista, cartao 12x/21x COM juros ou financiamento 36x ate 120x</t>
  </si>
  <si>
    <t xml:space="preserve">R$ 16.200 NEGOCIADO (o PDF traz R$ 21.289 - EXIGIR O DESCONTO POR ESCRITO)</t>
  </si>
  <si>
    <t xml:space="preserve">pedir preco e parcelamento para esta configuracao</t>
  </si>
  <si>
    <t xml:space="preserve">ATENCAO: 18x SEM JUROS pelo valor a vista (SunWash micro) e vantagem real. Ja o financiamento Sfero em 72x custa cerca de R$ 17,8 mil de juros sobre R$ 18,7 mil - quase dobra o preco.</t>
  </si>
  <si>
    <t xml:space="preserve">PRECOS</t>
  </si>
  <si>
    <t xml:space="preserve">Preco BASE informado (R$)</t>
  </si>
  <si>
    <t xml:space="preserve">A, B e E: valor do KIT/material. As demais: projeto completo, ja com instalacao. ALERTA na coluna J: o PDF da AD BioSolar traz R$ 21.289,00 e o valor de R$ 16.200,00 foi negociado verbalmente - um desconto de R$ 5.089 (24%) que PRECISA constar em proposta assinada, senao pode evaporar na hora de fechar.</t>
  </si>
  <si>
    <t xml:space="preserve">Acrescimo regional a confirmar (R$)</t>
  </si>
  <si>
    <t xml:space="preserve">ALERTA: a SunWash citou +R$ 1.800 pela sua regiao no kit Intelbras e nao repetiu nos demais. Mantido por PRUDENCIA. Se nao incidir, zere e o payback melhora.</t>
  </si>
  <si>
    <t xml:space="preserve">Homologacao / engenharia / ART (R$)</t>
  </si>
  <si>
    <t xml:space="preserve">E: R$ 790 declarado pelo William. A e B: mesmo valor como ESTIMATIVA - a TecSolarSP nunca informou o preco de venda.</t>
  </si>
  <si>
    <t xml:space="preserve">Instalacao / mao de obra (R$)</t>
  </si>
  <si>
    <t xml:space="preserve">ALERTA: E = R$ 6.900 declarado pelo William para 10 modulos. A e B usam esse valor escalado por modulo, como ESTIMATIVA.</t>
  </si>
  <si>
    <t xml:space="preserve">Adequacao do padrao mono -&gt; bifasico (R$)</t>
  </si>
  <si>
    <t xml:space="preserve">ALERTA: NENHUM dos orcamentos incluiu. Necessario para qualquer inversor de 220 V. Editavel em ENTRADAS!C28.</t>
  </si>
  <si>
    <t xml:space="preserve">PRECO TOTAL INSTALADO (R$)</t>
  </si>
  <si>
    <t xml:space="preserve">O UNICO numero comparavel entre fornecedores.</t>
  </si>
  <si>
    <t xml:space="preserve">R$ por Wp instalado</t>
  </si>
  <si>
    <t xml:space="preserve">Metrica de mercado, valida so entre precos de mesmo escopo.</t>
  </si>
  <si>
    <t xml:space="preserve">R$ por Wp somente de material</t>
  </si>
  <si>
    <t xml:space="preserve">n/d</t>
  </si>
  <si>
    <t xml:space="preserve">Mede a margem. A TecSolarSP paga R$ 2,47/Wp de material: use isso para negociar o preco de venda dela.</t>
  </si>
  <si>
    <t xml:space="preserve">GERACAO - REALIDADE x PROMESSA</t>
  </si>
  <si>
    <t xml:space="preserve">Geracao anual realista - telhado SE (kWh)</t>
  </si>
  <si>
    <t xml:space="preserve">Irradiacao de Sao Paulo, telhado Sudeste 20 graus, PR de 79%.</t>
  </si>
  <si>
    <t xml:space="preserve">Geracao media mensal realista (kWh/mes)</t>
  </si>
  <si>
    <t xml:space="preserve">Geracao no cenario CONSERVADOR (PR 72%)</t>
  </si>
  <si>
    <t xml:space="preserve">Pior caso: telhado mais sujo, mais quente ou com sombra parcial.</t>
  </si>
  <si>
    <t xml:space="preserve">Geracao PROMETIDA pelo vendedor (kWh/ano)</t>
  </si>
  <si>
    <t xml:space="preserve">A: 10.554. C, D e G: 700 kWh/mes x 12. E: 6.151. F: 6.367,50. H: 7.329,96. I: 9.279,13. J: 7.981,26. B: nao informada.</t>
  </si>
  <si>
    <t xml:space="preserve">DESVIO DA PROMESSA</t>
  </si>
  <si>
    <t xml:space="preserve">ALERTA: negativo = o vendedor promete mais do que o telhado entrega. Positivo = foi conservador. Sfero e a unica positiva.</t>
  </si>
  <si>
    <t xml:space="preserve">Geracao se o telhado fosse NORTE (kWh)</t>
  </si>
  <si>
    <t xml:space="preserve">Compare com a linha da promessa: e daqui que saem os numeros otimistas.</t>
  </si>
  <si>
    <t xml:space="preserve">ATENDIMENTO DO CONSUMO</t>
  </si>
  <si>
    <t xml:space="preserve">% atendido SEM o BYD (Cenario 1)</t>
  </si>
  <si>
    <t xml:space="preserve">Todos parecem otimos aqui - e por isso que os vendedores acham que acertaram o tamanho.</t>
  </si>
  <si>
    <t xml:space="preserve">% atendido COM o BYD (Cenario 2)</t>
  </si>
  <si>
    <t xml:space="preserve">% atendido no CENARIO 3</t>
  </si>
  <si>
    <t xml:space="preserve">ESTE e o criterio de dimensionamento. Alvo: 95% a 110%. Abaixo de 90% = subdimensionado.</t>
  </si>
  <si>
    <t xml:space="preserve">Deficit / excedente anual (kWh)</t>
  </si>
  <si>
    <t xml:space="preserve">Negativo = continua comprando energia todo mes. Muito positivo = credito que expira em 60 meses.</t>
  </si>
  <si>
    <t xml:space="preserve">Modulos que faltam para o Cenario 3</t>
  </si>
  <si>
    <t xml:space="preserve">Modulos atribuiveis SO ao BYD</t>
  </si>
  <si>
    <t xml:space="preserve">Placas que existem no projeto apenas para compensar o carregamento do carro.</t>
  </si>
  <si>
    <t xml:space="preserve">Potencia AC a declarar na homologacao e corrente em 220 V</t>
  </si>
  <si>
    <t xml:space="preserve">ALERTA POUCO OBVIO: a potencia declarada a Enel e a do INVERSOR (AC), nao a dos modulos. Quanto maior, maior o disjuntor e o padrao exigidos - e mais caro fica o item de adequacao do padrao.</t>
  </si>
  <si>
    <t xml:space="preserve">RESULTADO FINANCEIRO</t>
  </si>
  <si>
    <t xml:space="preserve">Conta mensal HOJE (sem solar, sem BYD)</t>
  </si>
  <si>
    <t xml:space="preserve">Situacao atual real: R$ 410,63.</t>
  </si>
  <si>
    <t xml:space="preserve">Conta mensal SEM solar mas COM o BYD</t>
  </si>
  <si>
    <t xml:space="preserve">O que a conta vira se o carro chegar e nao houver solar.</t>
  </si>
  <si>
    <t xml:space="preserve">Conta mensal COM solar e COM o BYD</t>
  </si>
  <si>
    <t xml:space="preserve">ALERTA: nao vai a zero. Sobram disponibilidade, Fio B e COSIP.</t>
  </si>
  <si>
    <t xml:space="preserve">Economia liquida ano 1 (R$/ano)</t>
  </si>
  <si>
    <t xml:space="preserve">Economia liquida ano 1 (R$/mes)</t>
  </si>
  <si>
    <t xml:space="preserve">PAYBACK SIMPLES (anos)</t>
  </si>
  <si>
    <t xml:space="preserve">Investimento total dividido pela economia do ano 1. CUIDADO: payback bom nao significa melhor negocio - ver a linha do lucro em 20 anos.</t>
  </si>
  <si>
    <t xml:space="preserve">Economia acumulada em 5 anos (R$)</t>
  </si>
  <si>
    <t xml:space="preserve">Economia acumulada em 10 anos (R$)</t>
  </si>
  <si>
    <t xml:space="preserve">Economia acumulada em 20 anos (R$)</t>
  </si>
  <si>
    <t xml:space="preserve">LUCRO LIQUIDO EM 20 ANOS (R$)</t>
  </si>
  <si>
    <t xml:space="preserve">Economia de 20 anos menos o investimento. E O MELHOR CRITERIO DE DECISAO FINANCEIRA - melhor que o payback.</t>
  </si>
  <si>
    <t xml:space="preserve">Retorno sobre o investimento em 20 anos</t>
  </si>
  <si>
    <t xml:space="preserve">EXPANSAO FUTURA</t>
  </si>
  <si>
    <t xml:space="preserve">kWp maximo com o mesmo inversor (DC/AC 1,35)</t>
  </si>
  <si>
    <t xml:space="preserve">Modulos que ainda cabem no inversor</t>
  </si>
  <si>
    <t xml:space="preserve">ALERTA: os inversores de 5 kW da SunWash (C e D) nao aceitam nenhum modulo a mais. Sun Coast v2 (+5) e a opcao com microinversores tem folga real - mas nos micros o limite verdadeiro e o numero de CANAIS livres, nao a potencia.</t>
  </si>
  <si>
    <t xml:space="preserve">LIMITE REAL de expansao (canais e estrutura)</t>
  </si>
  <si>
    <t xml:space="preserve">1 modulo (limite de potencia)</t>
  </si>
  <si>
    <t xml:space="preserve">0 - inversor no limite</t>
  </si>
  <si>
    <t xml:space="preserve">0 - inversor sobrecarregado</t>
  </si>
  <si>
    <t xml:space="preserve">6 MODULOS - canais livres nos 4 micros Deye</t>
  </si>
  <si>
    <t xml:space="preserve">1 modulo; para 12 precisa de um 3o micro</t>
  </si>
  <si>
    <t xml:space="preserve">5 modulos</t>
  </si>
  <si>
    <t xml:space="preserve">2 a 3 modulos</t>
  </si>
  <si>
    <t xml:space="preserve">4 modulos (canais livres)</t>
  </si>
  <si>
    <t xml:space="preserve">2 modulos (canais livres)</t>
  </si>
  <si>
    <t xml:space="preserve">A linha acima calcula pela POTENCIA do inversor. Em microinversor o limite verdadeiro e o numero de CANAIS livres. Os 4 micros Deye SUN-S225G4-EU-Q0 tem 4 MPPTs cada = 16 canais para 10 modulos, ou seja 6 canais livres: da para ir a 10,4 kWp sem comprar inversor nenhum.</t>
  </si>
  <si>
    <t xml:space="preserve">Geracao extra possivel sem trocar inversor (kWh/ano)</t>
  </si>
  <si>
    <t xml:space="preserve">Situacao do inversor</t>
  </si>
  <si>
    <t xml:space="preserve">'JA SOBRECARREGADO' = inversor pequeno para os modulos desde o dia 1 (perde geracao e garantia). 'SUBAPROVEITADO' = folga; boa se proposital para expansao, ruim se foi venda a mais.</t>
  </si>
  <si>
    <t xml:space="preserve">DECISAO ESPECIFICA: AUXSOL x HUAWEI NA PROPOSTA DA SUNWASH</t>
  </si>
  <si>
    <t xml:space="preserve">Diferenca de preco (Huawei - AUXSOL)</t>
  </si>
  <si>
    <t xml:space="preserve">Diferenca no payback, em anos</t>
  </si>
  <si>
    <t xml:space="preserve">Diferenca no lucro de 20 anos</t>
  </si>
  <si>
    <t xml:space="preserve">RECOMENDACAO: entre as duas da SunWash com inversor string, pagar os R$ 1.000 e ficar com o HUAWEI.</t>
  </si>
  <si>
    <t xml:space="preserve">O inversor e o unico componente que quase certamente sera trocado dentro da vida do sistema. Huawei tem garantia de fabrica mais longa,</t>
  </si>
  <si>
    <t xml:space="preserve">assistencia estabelecida no Brasil, monitoramento maduro e valor de revenda. AUXSOL tem penetracao pequena: se a marca sair do mercado,</t>
  </si>
  <si>
    <t xml:space="preserve">voce fica com o sistema parado esperando peca. O atraso de cerca de 2 meses no payback nao paga esse risco.</t>
  </si>
  <si>
    <t xml:space="preserve">OBSERVACAO SOBRE PAYBACK x LUCRO: sistema pequeno se paga rapido e depois te deixa pagando conta para sempre.</t>
  </si>
  <si>
    <t xml:space="preserve">Payback ignora a energia que voce NAO compensou. Por isso o criterio correto e o LUCRO LIQUIDO EM 20 ANOS.</t>
  </si>
  <si>
    <t xml:space="preserve">LISTA DE MATERIAIS - AS TRES COTACOES BELENERGY LADO A LADO</t>
  </si>
  <si>
    <t xml:space="preserve">Os tres orcamentos vem do MESMO distribuidor (Belenus/BelEnergy). Isso permite comparar escopo item por item.</t>
  </si>
  <si>
    <t xml:space="preserve">A) TecSolarSP
JA Solar 615W
WEB-006506779</t>
  </si>
  <si>
    <t xml:space="preserve">B) TecSolarSP
Astronergy 605W
WEB-006512519</t>
  </si>
  <si>
    <t xml:space="preserve">E) William
Maxeon 535W
WEB-006493952</t>
  </si>
  <si>
    <t xml:space="preserve">ANALISE TECNICA</t>
  </si>
  <si>
    <t xml:space="preserve">Modulo fotovoltaico</t>
  </si>
  <si>
    <t xml:space="preserve">12 pc JA Solar 615 W bifacial N-type</t>
  </si>
  <si>
    <t xml:space="preserve">12 pc Astronergy 605 W bifacial N-type</t>
  </si>
  <si>
    <t xml:space="preserve">10 pc Maxeon 535 W bifacial PERC</t>
  </si>
  <si>
    <t xml:space="preserve">A e B usam N-type TOPCon (geracao atual). E usa PERC, tecnologia anterior: menor eficiencia por m2 e degradacao maior.</t>
  </si>
  <si>
    <t xml:space="preserve">Huawei 6 kW mono 220 V 2 MPPT</t>
  </si>
  <si>
    <t xml:space="preserve">Solis 4 kW mono 220 V 2 MPPT</t>
  </si>
  <si>
    <t xml:space="preserve">TODOS de 220 V - incompativeis com o padrao monofasico atual sem adequacao. O Solis de 4 kW limita a expansao futura a zero.</t>
  </si>
  <si>
    <t xml:space="preserve">Estrutura - suporte de telhado</t>
  </si>
  <si>
    <t xml:space="preserve">18 pc suporte pe em L FIBROCIMENTO</t>
  </si>
  <si>
    <t xml:space="preserve">10 pc gancho telha COLONIAL c/ prolongador</t>
  </si>
  <si>
    <t xml:space="preserve">CONTRADICAO GRAVE: TecSolarSP cotou FIBROCIMENTO; William e Sun Coast cotaram TELHA COLONIAL. Dois contra um. Se for colonial, a estrutura das duas cotacoes da TecSolarSP esta errada. Resolver com uma foto antes de comprar.</t>
  </si>
  <si>
    <t xml:space="preserve">Haste / fixacao</t>
  </si>
  <si>
    <t xml:space="preserve">18 pc haste 10x250 mm inox (madeira)</t>
  </si>
  <si>
    <t xml:space="preserve">20 pc haste 10x250 mm inox</t>
  </si>
  <si>
    <t xml:space="preserve">incluso no gancho</t>
  </si>
  <si>
    <t xml:space="preserve">Fixacao por perfuracao exige vedacao com arruela EPDM. Exigir garantia contra infiltracao.</t>
  </si>
  <si>
    <t xml:space="preserve">Perfil de fixacao</t>
  </si>
  <si>
    <t xml:space="preserve">24 pc de 2,70 m</t>
  </si>
  <si>
    <t xml:space="preserve">10 pc de 2,28 m</t>
  </si>
  <si>
    <t xml:space="preserve">Compativel com a quantidade de modulos de cada projeto.</t>
  </si>
  <si>
    <t xml:space="preserve">Grampos final / intermediario</t>
  </si>
  <si>
    <t xml:space="preserve">6 jg final + 6 jg intermediario</t>
  </si>
  <si>
    <t xml:space="preserve">2 jg final + 10 jg intermediario</t>
  </si>
  <si>
    <t xml:space="preserve">Sem observacao relevante.</t>
  </si>
  <si>
    <t xml:space="preserve">Garra de aterramento</t>
  </si>
  <si>
    <t xml:space="preserve">6 jg</t>
  </si>
  <si>
    <t xml:space="preserve">3 jg</t>
  </si>
  <si>
    <t xml:space="preserve">2 jg</t>
  </si>
  <si>
    <t xml:space="preserve">ALERTA: quantidade cai muito em B e E. Aterramento de moldura e estrutura precisa ser continuo em todas as fileiras.</t>
  </si>
  <si>
    <t xml:space="preserve">Cabo solar CC</t>
  </si>
  <si>
    <t xml:space="preserve">30 m vermelho + 30 m preto de 6 mm2</t>
  </si>
  <si>
    <t xml:space="preserve">30 m vermelho + 30 m preto de 4 mm2</t>
  </si>
  <si>
    <t xml:space="preserve">25 m vermelho + 25 m preto de 4 mm2</t>
  </si>
  <si>
    <t xml:space="preserve">Bitola de 4 mm2 atende em corrente, mas verificar queda de tensao no percurso real telhado-inversor.</t>
  </si>
  <si>
    <t xml:space="preserve">Cabo de aterramento / equipotencializacao</t>
  </si>
  <si>
    <t xml:space="preserve">20 m de 4 mm2 verde</t>
  </si>
  <si>
    <t xml:space="preserve">NAO INCLUIDO</t>
  </si>
  <si>
    <t xml:space="preserve">10 m de 6 mm2 verde</t>
  </si>
  <si>
    <t xml:space="preserve">ALERTA: a cotacao B nao tem condutor de equipotencializacao. Item de seguranca, nao e opcional.</t>
  </si>
  <si>
    <t xml:space="preserve">String box CC</t>
  </si>
  <si>
    <t xml:space="preserve">1 pc 2E/2S 1000 V Clamper</t>
  </si>
  <si>
    <t xml:space="preserve">1 pc 2-4E/2-4S 1000 V</t>
  </si>
  <si>
    <t xml:space="preserve">Verificar em todas se contem DPS CC e chave seccionadora sob carga.</t>
  </si>
  <si>
    <t xml:space="preserve">DPS do lado CA</t>
  </si>
  <si>
    <t xml:space="preserve">3 pc Clamper classe II 275 V 15 kA</t>
  </si>
  <si>
    <t xml:space="preserve">ALERTA: so o William incluiu protecao contra surto no lado CA. Nas duas da TecSolarSP falta - e obrigatorio pela NBR 5410.</t>
  </si>
  <si>
    <t xml:space="preserve">Cabo CA</t>
  </si>
  <si>
    <t xml:space="preserve">100 m flex 6 mm2 preto</t>
  </si>
  <si>
    <t xml:space="preserve">nao listado separadamente</t>
  </si>
  <si>
    <t xml:space="preserve">Falta o condutor neutro/terra e o disjuntor CA dedicado em A e B. Confirmar se entram na instalacao.</t>
  </si>
  <si>
    <t xml:space="preserve">Disjuntor CA dedicado</t>
  </si>
  <si>
    <t xml:space="preserve">NAO LISTADO</t>
  </si>
  <si>
    <t xml:space="preserve">ALERTA: nenhuma das tres lista o disjuntor de protecao do inversor. Confirmar por escrito.</t>
  </si>
  <si>
    <t xml:space="preserve">Validacao da estrutura pelo distribuidor</t>
  </si>
  <si>
    <t xml:space="preserve">OK - 6 linhas x 2 modulos, paisagem</t>
  </si>
  <si>
    <t xml:space="preserve">NAO RECOMENDADA pela BelEnergy</t>
  </si>
  <si>
    <t xml:space="preserve">nao mencionado</t>
  </si>
  <si>
    <t xml:space="preserve">ALERTA: a propria cotacao B avisa que a estrutura escolhida nao foi validada pelo distribuidor. Risco mecanico transferido ao integrador.</t>
  </si>
  <si>
    <t xml:space="preserve">Validade da cotacao</t>
  </si>
  <si>
    <t xml:space="preserve">3 dias (emitida 08/08/2026)</t>
  </si>
  <si>
    <t xml:space="preserve">3 dias (emitida 10/08/2026)</t>
  </si>
  <si>
    <t xml:space="preserve">PIX (WEB-006493952)</t>
  </si>
  <si>
    <t xml:space="preserve">Cotacoes de material valem 3 dias. Os precos provavelmente ja mudaram - pedir revalidacao antes de fechar.</t>
  </si>
  <si>
    <t xml:space="preserve">Garantia do distribuidor</t>
  </si>
  <si>
    <t xml:space="preserve">1 ano Belenus</t>
  </si>
  <si>
    <t xml:space="preserve">A Belenus cobre 1 ano. Todo o resto (25 a 30 anos do modulo, 5 a 10 do inversor) e garantia do FABRICANTE, nao do integrador.</t>
  </si>
  <si>
    <t xml:space="preserve">FECHAMENTO FINANCEIRO DAS COTACOES DE MATERIAL</t>
  </si>
  <si>
    <t xml:space="preserve">Componente</t>
  </si>
  <si>
    <t xml:space="preserve">A) JA Solar 615W</t>
  </si>
  <si>
    <t xml:space="preserve">B) Astronergy 605W</t>
  </si>
  <si>
    <t xml:space="preserve">E) William Maxeon 535W</t>
  </si>
  <si>
    <t xml:space="preserve">Total de produtos</t>
  </si>
  <si>
    <t xml:space="preserve">Frete</t>
  </si>
  <si>
    <t xml:space="preserve">Seguro</t>
  </si>
  <si>
    <t xml:space="preserve">ICMS / IPI / ST / DIFAL</t>
  </si>
  <si>
    <t xml:space="preserve">TOTAL DO KIT (material)</t>
  </si>
  <si>
    <t xml:space="preserve">Potencia do sistema (kWp)</t>
  </si>
  <si>
    <t xml:space="preserve">Custo do material por Wp</t>
  </si>
  <si>
    <t xml:space="preserve">Mao de obra + engenharia declarada pelo William</t>
  </si>
  <si>
    <t xml:space="preserve">R$ 7.690,00 para 10 modulos = R$ 769 por modulo, ou R$ 1,44 por Wp</t>
  </si>
  <si>
    <t xml:space="preserve">Margem que o William cobrou sobre o kit</t>
  </si>
  <si>
    <t xml:space="preserve">Referencia de mercado para negociar com a TecSolarSP: eles pagam R$ 18.228,70 de material.</t>
  </si>
  <si>
    <t xml:space="preserve">Preco de venda justo estimado para a opcao A</t>
  </si>
  <si>
    <t xml:space="preserve">Se a TecSolarSP pedir muito acima disso, ha espaco para negociar - agora voce sabe o custo deles.</t>
  </si>
  <si>
    <t xml:space="preserve">A opcao A (615 W) vale os R$ 920,80 a mais que a opcao B (605 W)?</t>
  </si>
  <si>
    <t xml:space="preserve">Diferenca de preco do material</t>
  </si>
  <si>
    <t xml:space="preserve">Geracao anual extra da opcao A (kWh)</t>
  </si>
  <si>
    <t xml:space="preserve">Valor dessa geracao extra por ano</t>
  </si>
  <si>
    <t xml:space="preserve">Anos para a geracao extra pagar a diferenca</t>
  </si>
  <si>
    <t xml:space="preserve">Se der acima de ~6 anos, a diferenca NAO se paga pela geracao: decida por marca, garantia e completude do kit (a opcao A tem aterramento completo, a B nao).</t>
  </si>
  <si>
    <t xml:space="preserve">MODELO DE ECONOMIA - ANO 1, PELAS REGRAS DA LEI 14.300/2022</t>
  </si>
  <si>
    <t xml:space="preserve">Base: Cenario 3 (residencia + BYD + margem). A conta NAO vai a zero: permanecem custo de disponibilidade, Fio B e COSIP.</t>
  </si>
  <si>
    <t xml:space="preserve">LINHA DE CALCULO</t>
  </si>
  <si>
    <t xml:space="preserve">A) TecSolarSP JA Solar 615W Huawei 6 kW</t>
  </si>
  <si>
    <t xml:space="preserve">B) TecSolarSP Astronergy 605W Huawei 6 kW</t>
  </si>
  <si>
    <t xml:space="preserve">C) SunWash TCL 620W AUXSOL 5 kW</t>
  </si>
  <si>
    <t xml:space="preserve">D) SunWash TCL 620W HUAWEI 5 kW</t>
  </si>
  <si>
    <t xml:space="preserve">E) William Maxeon 535W Solis 4 kW</t>
  </si>
  <si>
    <t xml:space="preserve">F) Sun Coast v1 RONMA 585W AUXSOL 3 kW (SUPERADA)</t>
  </si>
  <si>
    <t xml:space="preserve">G) SunWash MICRO 10x650W 4x 2,25 kW</t>
  </si>
  <si>
    <t xml:space="preserve">H) Sfero (Renato) Longi/DAH 590W 2x micro 2,5 kW</t>
  </si>
  <si>
    <t xml:space="preserve">I) Sun Coast v2 TCL 620W x11 AUXSOL 7,5 kW</t>
  </si>
  <si>
    <t xml:space="preserve">J) AD BioSolar JA Solar 615W x10 Huawei SUN2000-6KTL-L1</t>
  </si>
  <si>
    <t xml:space="preserve">SIMULACAO G12 MICRO 12x650W 4x Deye 2,25 kW</t>
  </si>
  <si>
    <t xml:space="preserve">SIMULACAO G14 MICRO 14x650W 4x Deye 2,25 kW</t>
  </si>
  <si>
    <t xml:space="preserve">M) Bruno G4 (a receber)</t>
  </si>
  <si>
    <t xml:space="preserve">EXPLICACAO</t>
  </si>
  <si>
    <t xml:space="preserve">Consumo anual - Cenario 3 (kWh)</t>
  </si>
  <si>
    <t xml:space="preserve">Residencia + BYD + margem de crescimento</t>
  </si>
  <si>
    <t xml:space="preserve">Geracao anual do sistema (kWh)</t>
  </si>
  <si>
    <t xml:space="preserve">Geracao realista no telhado Sudeste</t>
  </si>
  <si>
    <t xml:space="preserve">Tarifa efetiva (R$/kWh)</t>
  </si>
  <si>
    <t xml:space="preserve">R$ 1,0215 - calculado da fatura real de jul/2026</t>
  </si>
  <si>
    <t xml:space="preserve">CONTA ANUAL SEM SOLAR, COM O BYD (R$)</t>
  </si>
  <si>
    <t xml:space="preserve">O cenario que voce enfrenta se nao instalar nada e o carro chegar</t>
  </si>
  <si>
    <t xml:space="preserve">Autoconsumo instantaneo (kWh)</t>
  </si>
  <si>
    <t xml:space="preserve">Usado no instante da geracao: nao passa pelo medidor, nao paga nada</t>
  </si>
  <si>
    <t xml:space="preserve">Energia injetada na rede (kWh)</t>
  </si>
  <si>
    <t xml:space="preserve">Vira credito de energia</t>
  </si>
  <si>
    <t xml:space="preserve">Consumo minimo faturavel - disponibilidade (kWh)</t>
  </si>
  <si>
    <t xml:space="preserve">50 kWh/mes apos virar bifasico. Nunca compensavel</t>
  </si>
  <si>
    <t xml:space="preserve">Energia compensada com creditos (kWh)</t>
  </si>
  <si>
    <t xml:space="preserve">Limitada pelo consumo restante apos autoconsumo e disponibilidade</t>
  </si>
  <si>
    <t xml:space="preserve">Excedente que nao sera aproveitado (kWh)</t>
  </si>
  <si>
    <t xml:space="preserve">Credito com prazo de 60 meses. Sobredimensionar e desperdicio</t>
  </si>
  <si>
    <t xml:space="preserve">Energia ainda comprada da rede (kWh)</t>
  </si>
  <si>
    <t xml:space="preserve">O que continua sendo faturado</t>
  </si>
  <si>
    <t xml:space="preserve">Custo da energia comprada (R$)</t>
  </si>
  <si>
    <t xml:space="preserve">Custo do Fio B sobre a energia compensada (R$)</t>
  </si>
  <si>
    <t xml:space="preserve">Lei 14.300: 60% da TUSD Fio B em 2026, 100% a partir de 2029</t>
  </si>
  <si>
    <t xml:space="preserve">COSIP / iluminacao publica (R$)</t>
  </si>
  <si>
    <t xml:space="preserve">R$ 21,11 por mes. A geracao nao afeta</t>
  </si>
  <si>
    <t xml:space="preserve">CONTA ANUAL COM SOLAR (R$)</t>
  </si>
  <si>
    <t xml:space="preserve">O que voce continuara pagando por ano</t>
  </si>
  <si>
    <t xml:space="preserve">CONTA MEDIA MENSAL COM SOLAR (R$)</t>
  </si>
  <si>
    <t xml:space="preserve">A prova de que nao existe conta de R$ 0</t>
  </si>
  <si>
    <t xml:space="preserve">Reducao da conta</t>
  </si>
  <si>
    <t xml:space="preserve">Economia bruta anual (R$)</t>
  </si>
  <si>
    <t xml:space="preserve">Manutencao e limpeza (R$/ano)</t>
  </si>
  <si>
    <t xml:space="preserve">Custo recorrente real</t>
  </si>
  <si>
    <t xml:space="preserve">Provisao para troca do inversor (R$/ano)</t>
  </si>
  <si>
    <t xml:space="preserve">O inversor nao dura os 25 anos do modulo</t>
  </si>
  <si>
    <t xml:space="preserve">Reservado</t>
  </si>
  <si>
    <t xml:space="preserve">Degradacao ja tratada no fator de geracao da aba PROJECAO</t>
  </si>
  <si>
    <t xml:space="preserve">Subtotal de custos recorrentes (R$)</t>
  </si>
  <si>
    <t xml:space="preserve">ECONOMIA LIQUIDA NO ANO 1 (R$)</t>
  </si>
  <si>
    <t xml:space="preserve">Base do payback e da projecao de 20 anos</t>
  </si>
  <si>
    <t xml:space="preserve">SIMULACAO SEM CARRO x COM CARRO (impacto isolado do BYD)</t>
  </si>
  <si>
    <t xml:space="preserve">Consumo anual SEM o BYD (kWh)</t>
  </si>
  <si>
    <t xml:space="preserve">Media real da conta x 12</t>
  </si>
  <si>
    <t xml:space="preserve">Consumo anual COM o BYD (kWh)</t>
  </si>
  <si>
    <t xml:space="preserve">Cenario 2</t>
  </si>
  <si>
    <t xml:space="preserve">Acrescimo de consumo causado pelo BYD (kWh/ano)</t>
  </si>
  <si>
    <t xml:space="preserve">Acrescimo percentual sobre o consumo atual</t>
  </si>
  <si>
    <t xml:space="preserve">Por isso a media da conta nao serve de base</t>
  </si>
  <si>
    <t xml:space="preserve">Conta anual SEM solar e SEM o BYD (R$)</t>
  </si>
  <si>
    <t xml:space="preserve">Sua situacao de hoje</t>
  </si>
  <si>
    <t xml:space="preserve">Conta anual SEM solar e COM o BYD (R$)</t>
  </si>
  <si>
    <t xml:space="preserve">O carro sozinho encarece a conta neste valor</t>
  </si>
  <si>
    <t xml:space="preserve">Custo anual so do BYD sem energia solar (R$)</t>
  </si>
  <si>
    <t xml:space="preserve">Na tarifa cheia</t>
  </si>
  <si>
    <t xml:space="preserve">Custo anual so do BYD com energia solar (R$)</t>
  </si>
  <si>
    <t xml:space="preserve">Compensado: paga-se apenas o Fio B</t>
  </si>
  <si>
    <t xml:space="preserve">ECONOMIA ANUAL SO NO CARREGAMENTO DO BYD (R$)</t>
  </si>
  <si>
    <t xml:space="preserve">O melhor retorno marginal do projeto</t>
  </si>
  <si>
    <t xml:space="preserve">Numero de placas de 615 W dedicadas ao BYD</t>
  </si>
  <si>
    <t xml:space="preserve">Placas que existem por causa do carro</t>
  </si>
  <si>
    <t xml:space="preserve">PROJECAO DE 20 ANOS, ECONOMIA ACUMULADA E PAYBACK</t>
  </si>
  <si>
    <t xml:space="preserve">Economia do ano 1 corrigida por inflacao energetica e degradacao, menos O&amp;M. 'Fluxo' = acumulado menos o investimento; fica positivo no ano do payback.</t>
  </si>
  <si>
    <t xml:space="preserve">Ano</t>
  </si>
  <si>
    <t xml:space="preserve">Fator geracao</t>
  </si>
  <si>
    <t xml:space="preserve">A) TecSolarSP
Economia</t>
  </si>
  <si>
    <t xml:space="preserve">A) TecSolarSP
Acumulado</t>
  </si>
  <si>
    <t xml:space="preserve">A) TecSolarSP
Fluxo</t>
  </si>
  <si>
    <t xml:space="preserve">B) TecSolarSP
Economia</t>
  </si>
  <si>
    <t xml:space="preserve">B) TecSolarSP
Acumulado</t>
  </si>
  <si>
    <t xml:space="preserve">B) TecSolarSP
Fluxo</t>
  </si>
  <si>
    <t xml:space="preserve">C) SunWash
Economia</t>
  </si>
  <si>
    <t xml:space="preserve">C) SunWash
Acumulado</t>
  </si>
  <si>
    <t xml:space="preserve">C) SunWash
Fluxo</t>
  </si>
  <si>
    <t xml:space="preserve">D) SunWash
Economia</t>
  </si>
  <si>
    <t xml:space="preserve">D) SunWash
Acumulado</t>
  </si>
  <si>
    <t xml:space="preserve">D) SunWash
Fluxo</t>
  </si>
  <si>
    <t xml:space="preserve">E) William
Economia</t>
  </si>
  <si>
    <t xml:space="preserve">E) William
Acumulado</t>
  </si>
  <si>
    <t xml:space="preserve">E) William
Fluxo</t>
  </si>
  <si>
    <t xml:space="preserve">F) Sun Coast v1
Economia</t>
  </si>
  <si>
    <t xml:space="preserve">F) Sun Coast v1
Acumulado</t>
  </si>
  <si>
    <t xml:space="preserve">F) Sun Coast v1
Fluxo</t>
  </si>
  <si>
    <t xml:space="preserve">G) SunWash
Economia</t>
  </si>
  <si>
    <t xml:space="preserve">G) SunWash
Acumulado</t>
  </si>
  <si>
    <t xml:space="preserve">G) SunWash
Fluxo</t>
  </si>
  <si>
    <t xml:space="preserve">H) Sfero (Renato)
Economia</t>
  </si>
  <si>
    <t xml:space="preserve">H) Sfero (Renato)
Acumulado</t>
  </si>
  <si>
    <t xml:space="preserve">H) Sfero (Renato)
Fluxo</t>
  </si>
  <si>
    <t xml:space="preserve">I) Sun Coast v2
Economia</t>
  </si>
  <si>
    <t xml:space="preserve">I) Sun Coast v2
Acumulado</t>
  </si>
  <si>
    <t xml:space="preserve">I) Sun Coast v2
Fluxo</t>
  </si>
  <si>
    <t xml:space="preserve">J) AD BioSolar
Economia</t>
  </si>
  <si>
    <t xml:space="preserve">J) AD BioSolar
Acumulado</t>
  </si>
  <si>
    <t xml:space="preserve">J) AD BioSolar
Fluxo</t>
  </si>
  <si>
    <t xml:space="preserve">SIMULACAO G12
Economia</t>
  </si>
  <si>
    <t xml:space="preserve">SIMULACAO G12
Acumulado</t>
  </si>
  <si>
    <t xml:space="preserve">SIMULACAO G12
Fluxo</t>
  </si>
  <si>
    <t xml:space="preserve">SIMULACAO G14
Economia</t>
  </si>
  <si>
    <t xml:space="preserve">SIMULACAO G14
Acumulado</t>
  </si>
  <si>
    <t xml:space="preserve">SIMULACAO G14
Fluxo</t>
  </si>
  <si>
    <t xml:space="preserve">Anos 5, 10 e 20 destacados. As colunas 'Fluxo' viram positivas no ano do payback ja corrigido por inflacao e degradacao.</t>
  </si>
  <si>
    <t xml:space="preserve">Nao inclui: troca do inversor no ano ~13 (provisionada em R$ 150/ano na aba ECONOMIA), reajustes de bandeira tarifaria,</t>
  </si>
  <si>
    <t xml:space="preserve">nem a mudanca da regra do Fio B (60% em 2026 -&gt; 100% em 2029), que reduz a economia dos anos seguintes.</t>
  </si>
  <si>
    <t xml:space="preserve">Por isso o payback real tende a ser um pouco pior que o calculado, e o carregamento diurno do BYD fica cada vez mais vantajoso.</t>
  </si>
  <si>
    <t xml:space="preserve">SIMULACAO MES A MES - CONSUMO x GERACAO x BANCO DE CREDITOS</t>
  </si>
  <si>
    <t xml:space="preserve">Consumo da residencia = historico REAL da conta. Geracao com sazonalidade real (nao e media achatada).</t>
  </si>
  <si>
    <t xml:space="preserve">Potencia simulada (kWp):</t>
  </si>
  <si>
    <t xml:space="preserve">&lt;- edite para testar outra potencia (6,20 = SunWash / 7,38 = TecSolarSP / 5,35 = William)</t>
  </si>
  <si>
    <t xml:space="preserve">Residencia (kWh)</t>
  </si>
  <si>
    <t xml:space="preserve">BYD (kWh)</t>
  </si>
  <si>
    <t xml:space="preserve">Consumo total (kWh)</t>
  </si>
  <si>
    <t xml:space="preserve">Geracao solar (kWh)</t>
  </si>
  <si>
    <t xml:space="preserve">Saldo do mes (kWh)</t>
  </si>
  <si>
    <t xml:space="preserve">Banco de creditos (kWh)</t>
  </si>
  <si>
    <t xml:space="preserve">Situacao</t>
  </si>
  <si>
    <t xml:space="preserve">COMO LER ESTA ABA:</t>
  </si>
  <si>
    <t xml:space="preserve">Os meses de maio a julho ficam negativos - inverno somado a telhado Sudeste, que perde mais justamente no inverno.</t>
  </si>
  <si>
    <t xml:space="preserve">Isso e normal e esperado. O excedente de outubro a marco forma o banco de creditos que cobre o inverno.</t>
  </si>
  <si>
    <t xml:space="preserve">O que importa e o SALDO ANUAL da coluna G, linha 19, ficar proximo de zero ou levemente positivo.</t>
  </si>
  <si>
    <t xml:space="preserve">Saldo anual muito positivo = voce pagou por placas que geram credito que vai expirar em 60 meses sem ser usado.</t>
  </si>
  <si>
    <t xml:space="preserve">Saldo anual negativo = voce vai continuar comprando energia da Enel todo mes, com tarifa cheia.</t>
  </si>
  <si>
    <t xml:space="preserve">OBSERVACAO SOBRE O CONSUMO DA RESIDENCIA: os valores vem do historico real, que ja mostra tendencia de alta de ~22%.</t>
  </si>
  <si>
    <t xml:space="preserve">Se o consumo continuar subindo, o deficit dos meses de inverno sera maior do que o mostrado aqui.</t>
  </si>
  <si>
    <t xml:space="preserve">CHECKLIST - O QUE EXIGIR ANTES DE ASSINAR QUALQUER CONTRATO</t>
  </si>
  <si>
    <t xml:space="preserve">Itens em vermelho sao alertas ja identificados nos documentos recebidos. Preencha STATUS e a resposta de cada fornecedor.</t>
  </si>
  <si>
    <t xml:space="preserve">#</t>
  </si>
  <si>
    <t xml:space="preserve">PONTO A VERIFICAR</t>
  </si>
  <si>
    <t xml:space="preserve">STATUS</t>
  </si>
  <si>
    <t xml:space="preserve">RESPOSTA DO FORNECEDOR</t>
  </si>
  <si>
    <t xml:space="preserve">1) BLOQUEADORES - RESOLVER ANTES DE QUALQUER COMPRA</t>
  </si>
  <si>
    <t xml:space="preserve">PADRAO MONOFASICO x INVERSOR DE 220 V. A conta indica fornecimento monofasico (127 V na Enel SP) e os quatro orcamentos usam inversor de 220 V, que precisa de 2 fases. Exigir de cada fornecedor: quem faz o pedido de alteracao de padrao na Enel, quanto custa, quanto tempo leva e se esta no preco.</t>
  </si>
  <si>
    <t xml:space="preserve">Pendente</t>
  </si>
  <si>
    <t xml:space="preserve">TIPO DA TELHA CONTRADITORIO. TecSolarSP cotou estrutura para FIBROCIMENTO e William cotou gancho para telha COLONIAL. Sao estruturas totalmente diferentes. Descobrir qual e a telha real - se um deles errou, nao visitou o telhado.</t>
  </si>
  <si>
    <t xml:space="preserve">GERACAO CALCULADA COMO SE O TELHADO FOSSE NORTE. TecSolarSP promete 1.430 kWh/kWp em telhado que ela mesma declara Sudeste. SunWash escreve 'calculo considerando norte do telhado'. Exigir simulacao com o azimute e a inclinacao REAIS, em PVsol, PVsyst ou Solergo, com relatorio em PDF.</t>
  </si>
  <si>
    <t xml:space="preserve">NENHUM ORCAMENTO CONSIDEROU O BYD. Informar a todos que havera carregamento diario do veiculo e pedir redimensionamento. A proposta do William (5,35 kWp) fica subdimensionada e o inversor Solis de 4 kW nao permite ampliar depois.</t>
  </si>
  <si>
    <t xml:space="preserve">1-sexies) SOBRE A AD BIOSOLAR (opcao J) - E A VERIFICACAO MAIS IMPORTANTE DE TODAS</t>
  </si>
  <si>
    <t xml:space="preserve">PONTOS FORTES: unica que informou o MODELO EXATO do inversor (Huawei SUN2000-5KTL-L1); modulo JA Solar Tier 1 com 30 anos de garantia de eficiencia e 15 de defeito; inversor com 10 anos de garantia; CNPJ na proposta; vistoria tecnica, ART, licencas, gestao de obra e frete no escopo; unica a informar o peso por m2 (8,33 kg/m2), dado que importa em telhado ceramico.</t>
  </si>
  <si>
    <t xml:space="preserve">AGORA DA PARA FECHAR A CONTA QUE ESTAVA ABERTA: baixe a ficha tecnica do Huawei SUN2000-5KTL-L1 e a do modulo JA Solar de 615 W e compare a CORRENTE MAXIMA DE ENTRADA POR MPPT do inversor com a CORRENTE DE OPERACAO (Impp) do modulo. Modulos de 615 W nesse formato tem Impp na faixa de 16 A. Varias versoes da linha SUN2000-L1 aceitam de 12,5 a 13,5 A por MPPT. Se a corrente do modulo for maior que a do MPPT, o inversor NAO consegue extrair toda a potencia nas melhores horas do dia - perda permanente que nenhuma simulacao mostra.</t>
  </si>
  <si>
    <t xml:space="preserve">ESSA MESMA VERIFICACAO VALE PARA AS OPCOES A, B, C, D e I, que usam modulos de 605 a 620 W. Exigir de cada fornecedor o PROJETO DE STRING por escrito: quantos modulos em serie por MPPT, tensao minima e maxima nas temperaturas extremas, e a corrente por MPPT comparada ao limite do inversor. Fornecedor que nao souber responder isso nao fez projeto - fez lista de compras.</t>
  </si>
  <si>
    <t xml:space="preserve">AD BIOSOLAR CORRIGIU A PROPOSTA (#01237 de 12/08): subiu de 8 para 10 modulos e de 4,92 para 6,15 kWp, trocou o inversor do SUN2000-5KTL-L1 para o 6KTL-L1 de 6 kW, e passou a dimensionar com 650 kWh/mes em vez de 460. Com o valor negociado de R$ 16.200 ela sai a R$ 2,63/Wp - deixou de ser a mais cara e passou a ser uma das mais baratas, com o melhor equipamento do conjunto.</t>
  </si>
  <si>
    <t xml:space="preserve">O DESCONTO DE R$ 5.089 PRECISA ESTAR NO PAPEL. O PDF #01237 traz R$ 21.289,00; o valor de R$ 16.200,00 veio da negociacao. Sao 24% de desconto. Exigir proposta reemitida com o valor final, ou o desconto pode nao existir na assinatura.</t>
  </si>
  <si>
    <t xml:space="preserve">VERIFICACAO OBRIGATORIA NA AD BIOSOLAR: 10 modulos JA Solar de 615 W em um SUN2000-6KTL-L1 de 2 MPPTs dao 5 modulos por string. Confirmar na ficha tecnica do inversor a corrente maxima de entrada por MPPT e comparar com o Impp do modulo (~16 A). Se a do inversor for menor, perde-se geracao nas melhores horas. Pedir tambem a tensao da string nas temperaturas extremas.</t>
  </si>
  <si>
    <t xml:space="preserve">NUMEROS DE MARKETING DA AD BIOSOLAR: 'Economia total em 25 anos R$ 419.713,53', 'ROI 24,06 vezes' e 'TIR 35,81%' usam reajuste de energia de 10% ao ano composto por 25 anos. Ignore. Alem disso a 'conta COM sistema de R$ 75,31/mes' vale para 460 kWh/mes SEM o carro - com o BYD o meu modelo da cerca de R$ 259/mes nessa potencia.</t>
  </si>
  <si>
    <t xml:space="preserve">TRES VENDEDORES USARAM TRES CONSUMOS DIFERENTES: William usou 381 kWh/mes (a media real da conta), AD BioSolar usou 460 e Sfero usou 600. Nenhum deles explicou de onde veio o numero. Padronize: mande para TODOS o mesmo dado - 381 kWh/mes de historico MAIS 206 kWh/mes do BYD - e peca que refacam. So assim os orcamentos ficam comparaveis.</t>
  </si>
  <si>
    <t xml:space="preserve">CORRENTE DO MODULO x CORRENTE MAXIMA DO MPPT. Modulos de 605 a 615 W tem corrente de operacao na faixa de 14 a 17 A. Inversores residenciais da linha Huawei SUN2000-L1 costumam aceitar de 12,5 a 13,5 A por MPPT. Se a corrente do modulo ultrapassar a do inversor, perde-se geracao nas melhores horas. Exigir as duas fichas tecnicas e o calculo da string.</t>
  </si>
  <si>
    <t xml:space="preserve">STRING CURTA DE 6 MODULOS. A tensao de operacao fica na faixa de 200 a 225 V. Em dia quente a tensao cai e pode sair da faixa de potencia plena do MPPT. Exigir o projeto de string com temperatura minima e maxima.</t>
  </si>
  <si>
    <t xml:space="preserve">FALTA PROTECAO CA nas duas cotacoes da TecSolarSP: sem DPS CA e sem disjuntor dedicado do inversor. So o William incluiu DPS (3 pecas Clamper classe II). Item obrigatorio pela NBR 5410.</t>
  </si>
  <si>
    <t xml:space="preserve">FALTA CABO DE EQUIPOTENCIALIZACAO na cotacao Astronergy 605 W, e as garras de aterramento cairam de 6 para 3 jogos. Item de seguranca.</t>
  </si>
  <si>
    <t xml:space="preserve">ESTRUTURA NAO VALIDADA na cotacao Astronergy: a propria BelEnergy escreveu que 'as estruturas deste orcamento nao foram recomendadas'.</t>
  </si>
  <si>
    <t xml:space="preserve">PROPOSTA SEM CNPJ. A proposta do William nao traz razao social nem CNPJ. Sem isso nao existe garantia exigivel. Pedir o documento com identificacao da empresa.</t>
  </si>
  <si>
    <t xml:space="preserve">'INVERSOR HIBRIDO' NAO COMPROVADO. A peca publicitaria da TecSolarSP anuncia inversor HIBRIDO 6 kW, mas a cotacao traz 'INVHW-MO-220V-6KW'. Exigir o codigo completo do modelo e a confirmacao por escrito de que aceita bateria - hibrido e nao hibrido tem preco e funcao diferentes.</t>
  </si>
  <si>
    <t xml:space="preserve">1-bis) PERGUNTAS ESPECIFICAS DA PROPOSTA COM MICROINVERSORES (opcao G)</t>
  </si>
  <si>
    <t xml:space="preserve">RESPONDIDO: os microinversores sao DEYE SUN-S225G4-EU-Q0, 2,25 kW monofasico. A Deye e um dos maiores fabricantes do mundo e tem rede de assistencia estabelecida no Brasil. Isso resolve a principal duvida que havia sobre esta proposta.</t>
  </si>
  <si>
    <t xml:space="preserve">CONSEQUENCIA 1 - CORRENTE: o sufixo Q0 indica 4 MPPTs por micro, e a linha G4 da Deye foi projetada para modulos de 600 a 700 W, com corrente por MPPT na casa de 20 A. Isso e folgado para os ~16 A de um modulo de 650 W. Ou seja: nesta proposta o risco de corte de corrente por MPPT NAO existe - diferente das propostas com inversor string e modulos de 605 a 620 W, onde a verificacao continua obrigatoria. CONFIRMAR na ficha tecnica do SUN-S225G4-EU-Q0.</t>
  </si>
  <si>
    <t xml:space="preserve">CONSEQUENCIA 2 - EXPANSAO: 4 micros x 4 MPPTs = 16 canais para 10 modulos = 6 CANAIS LIVRES. Da para chegar a 16 modulos (10,4 kWp) sem comprar inversor, com DC/AC de 1,16. E a unica proposta do conjunto com folga real de expansao - e voce tem um consumo subindo 39% ao ano.</t>
  </si>
  <si>
    <t xml:space="preserve">PERGUNTA QUE SOBROU: QUANTO CUSTA COM 3 MICROS EM VEZ DE 4? Tres micros dao 12 canais (10 usados, 2 livres) e 6,75 kW AC em vez de 9,0 kW. Duas vantagens: preco menor, e potencia homologada de 31 A em vez de 41 A, o que pode reduzir o custo do padrao de entrada. Vale so se voce NAO pretende passar de ~7,8 kWp no futuro.</t>
  </si>
  <si>
    <t xml:space="preserve">EXIGIR A GARANTIA DA DEYE POR ESCRITO. A Deye pratica 10 anos de fabrica nos microinversores, com extensao opcional, mas o Yuri nao declarou nada. Sem estar no papel, nao vale.</t>
  </si>
  <si>
    <t xml:space="preserve">RESPONDIDO: o modulo e ZNShine ZXNR-MD132-650, N-type, 650 W. A ZNShine e fabricante listada como Tier 1 pela Bloomberg NEF e atua desde os anos 1990. Com isso, os DOIS equipamentos desta proposta estao identificados e sao de fabricantes credenciados.</t>
  </si>
  <si>
    <t xml:space="preserve">ESCLARECIMENTO IMPORTANTE SOBRE 'TIER 1': o selo Tier 1 da Bloomberg NEF mede BANCABILIDADE, ou seja, que bancos financiaram projetos com aquele fabricante. NAO e certificado de qualidade nem de eficiencia, e nao substitui o registro INMETRO. Exigir o INMETRO do modelo ZXNR-MD132-650 do mesmo jeito.</t>
  </si>
  <si>
    <t xml:space="preserve">ESCLARECIMENTO SOBRE 'MONO': significa monocristalino, e nao monofacial. Se o modulo e bifacial ou nao precisa ser lido na ficha tecnica. Em telhado ceramico com modulo assentado proximo a telha o ganho bifacial e pequeno (1% a 2%), portanto isso quase nao muda a estimativa de geracao desta planilha.</t>
  </si>
  <si>
    <t xml:space="preserve">AGORA SO FALTA PAPEL NESTA PROPOSTA: razao social e CNPJ da SunWash, garantias de modulo/inversor/instalacao por escrito em anos, escopo item a item, esclarecimento dos R$ 1.800 da regiao, e o tipo de telha considerado. Nenhuma pendencia tecnica restou.</t>
  </si>
  <si>
    <t xml:space="preserve">PONTO A PESAR COM HONESTIDADE: a Deye domina o mercado brasileiro em inversor string e hibrido, mas a linha de MICROINVERSORES dela e mais recente no Brasil e tem menos historico de campo aqui do que os micros da Hoymiles ou APsystems. Nao e impedimento - e um dado a considerar, e reforca a exigencia da garantia por escrito.</t>
  </si>
  <si>
    <t xml:space="preserve">QUAL A MARCA DO MODULO DE 650 W? O orcamento nao informa. 650 W e formato grande (cerca de 2,6 m2 por placa): confirmar que cabe na agua Sudeste e que o peso por m2 e compativel com o telhado.</t>
  </si>
  <si>
    <t xml:space="preserve">QUANTOS MODULOS CADA MICROINVERSOR ACEITA? 4 micros de 2,25 kW dao 9 kW AC para 6,5 kWp de modulos (relacao 0,72). Se cada micro aceita 4 modulos, sao 16 canais para 10 modulos = 6 canais livres, o que e uma excelente folga de expansao. Se aceita menos, voce esta pagando por um micro desnecessario. Essa unica resposta muda a avaliacao da proposta.</t>
  </si>
  <si>
    <t xml:space="preserve">CONFIRMAR QUE O PARCELAMENTO EM 18x E REALMENTE SEM JUROS pelo valor a vista (18 x 932,25 = 16.780,54 confere). Pedir por escrito, e confirmar se o preco a vista nao teria desconto adicional.</t>
  </si>
  <si>
    <t xml:space="preserve">MICROINVERSOR EXIGE MANUTENCAO NO TELHADO. Perguntar como e feito o acesso, o prazo de troca em garantia e se o monitoramento e por modulo (deveria ser).</t>
  </si>
  <si>
    <t xml:space="preserve">Vantagens tecnicas reais do microinversor no SEU caso: sombreamento nunca foi avaliado e o micro isola o problema por modulo; permite dividir os modulos em mais de uma agua do telhado (poderia recuperar parte dos 11% perdidos pela orientacao Sudeste); nao ha tensao alta de corrente continua no telhado; falha de um equipamento nao para o sistema todo.</t>
  </si>
  <si>
    <t xml:space="preserve">1-quater) PERGUNTAS DA PROPOSTA SFERO (opcao H)</t>
  </si>
  <si>
    <t xml:space="preserve">MARCA COM BARRA NAO E MARCA. A proposta diz 'Longi/ DAH Solar' e 'Solis/ Growatt', ou seja, um OU outro. Exigir por escrito qual modelo exato sera entregue ANTES de assinar - a diferenca entre Longi e DAH, e entre Solis e Growatt, e real em preco e em suporte.</t>
  </si>
  <si>
    <t xml:space="preserve">5,90 kWp COBRE SO 92% DO CENARIO 3. Pedir a versao com 12 modulos e 3 microinversores (7,08 kWp, DC/AC 0,94), que levaria a cobertura para ~110%, e comparar o preco. Com 2 micros de 2,5 kW nao da para so acrescentar modulos: 12 x 590 W daria DC/AC de 1,42, acima do limite.</t>
  </si>
  <si>
    <t xml:space="preserve">60% DE ENTRADA E RISCO ALTO. Sao R$ 11.240 pagos antes de qualquer equipamento chegar ao telhado. Negociar para 30-40% de entrada, ou exigir garantia contratual e nota fiscal do material no ato do pagamento.</t>
  </si>
  <si>
    <t xml:space="preserve">A SFERO DIMENSIONOU COM 600 kWh/mes, e nao com os 381 kWh/mes reais da sua conta. Coincidentemente 600 e proximo do consumo COM o BYD (587). VOCE INFORMOU O CARRO PARA ELES? Se sim, e a unica empresa que considerou. Se nao, foi sorte - e vale confirmar de onde saiu esse numero.</t>
  </si>
  <si>
    <t xml:space="preserve">PONTOS FORTES REAIS DA SFERO, que nenhuma outra tem: modulo Longi ou DAH (Tier 1 com rede no Brasil) E microinversor Solis ou Growatt (marcas estabelecidas); seguro All Risk de 1 ano cobrindo danos, furto e responsabilidade civil; garantia de performance e resultado em contrato desde o 1o ano; string box com protecoes e monitoramento WiFi ja no escopo; relacao DC/AC de 1,18, a melhor de todas.</t>
  </si>
  <si>
    <t xml:space="preserve">1-quinquies) SOBRE A SUN COAST v2 (opcao I)</t>
  </si>
  <si>
    <t xml:space="preserve">A Sun Coast CORRIGIU os dois defeitos apontados: a relacao DC/AC saiu de 1,56 para 0,91 e o inversor passou de 1 para 2 MPPTs, com 11 modulos em vez de 8. O preco marginal do acrescimo foi de R$ 2,10 por Wp, abaixo do preco medio dela - ou seja, foi um upgrade barato. Hoje tem o melhor R$/Wp de todos.</t>
  </si>
  <si>
    <t xml:space="preserve">MAS AS MARCAS CONTINUAM SENDO TCL (modulo) E AUXSOL (inversor), ambas com pouquissima rede de assistencia no Brasil. Garantia de '10 a 25 anos' no inversor so vale se existir empresa para honrar em 2040. Exigir INMETRO, o representante no Brasil com CNPJ e o prazo de atendimento.</t>
  </si>
  <si>
    <t xml:space="preserve">OS NUMEROS DE MARKETING SEGUEM INFLADOS: 'Retorno do investimento R$ 368.037,69' e 'Rendimento 40,69% ao ano' sobre um investimento de R$ 16.890. Meu calculo da cerca de R$ 219 mil de lucro em 20 anos, que ja e otimo. Ignore esses numeros e use a aba COMPARATIVO.</t>
  </si>
  <si>
    <t xml:space="preserve">AUXSOL DE 7,5 kW SIGNIFICA 7,5 kW DECLARADOS NA HOMOLOGACAO = 34 A em 220 V. Isso pode exigir padrao de entrada maior (e mais caro) do que 6,82 kWp precisaria. Perguntar se um inversor de 6 kW nao serviria, com preco menor.</t>
  </si>
  <si>
    <t xml:space="preserve">1-ter) DEMAIS BLOQUEADORES</t>
  </si>
  <si>
    <t xml:space="preserve">SUN COAST: INVERSOR DE 3 kW PARA 4,68 kWp = RELACAO DC/AC DE 1,56. A faixa saudavel e 1,10 a 1,35. Nessa configuracao o inversor corta potencia (clipping) nas melhores horas do dia e a maioria dos fabricantes considera fora da garantia. Exigir do Alexandre o limite de sobrecarga do modelo AUXSOL cotado, por escrito, e a versao com inversor de 4 ou 5 kW.</t>
  </si>
  <si>
    <t xml:space="preserve">SUN COAST: INVERSOR COM 1 MPPT UNICO. Os 8 modulos ficam numa unica string. Isso exige que todos estejam na MESMA agua, com mesma orientacao e inclinacao, e faz com que sombra em um unico modulo derrube a producao da string inteira. Se o telhado tiver mais de uma agua util, essa configuracao nao serve.</t>
  </si>
  <si>
    <t xml:space="preserve">SUN COAST EXCLUI POR ESCRITO a adequacao do padrao de entrada, obras no telhado, eletrodutos e eletrocalhas, e o projeto estrutural com ART. E honesto declarar, mas o custo e seu: sao os R$ 2.500 (estimados) do padrao mais o que aparecer no telhado. Somar isso ao preco antes de comparar.</t>
  </si>
  <si>
    <t xml:space="preserve">MODULO RONMA SOLAR - MARCA A INVESTIGAR. Praticamente sem presenca no Brasil. Exigir registro INMETRO do modelo exato, ficha tecnica e o nome/CNPJ de quem honra os 25 anos de garantia de eficiencia no Brasil. Garantia de 25 anos so vale se existir empresa para honrar.</t>
  </si>
  <si>
    <t xml:space="preserve">TELHA: AGORA SAO DOIS CONTRA UM. William e Sun Coast cotaram TELHA COLONIAL; a TecSolarSP cotou FIBROCIMENTO. Se a telha for colonial, toda a estrutura das duas cotacoes da TecSolarSP esta errada (18 suportes pe em L de fibrocimento e hastes para madeira). Tirar uma foto do telhado resolve isso em 1 minuto.</t>
  </si>
  <si>
    <t xml:space="preserve">MODULO TCL 620 W - MARCA A INVESTIGAR. A TCL/TCL Zhonghuan e gigante em wafer de silicio, mas a marca de MODULO tem pouca rede de assistencia no Brasil. Exigir: registro INMETRO do modelo exato, ficha tecnica, termos de garantia de produto e de performance, e QUEM honra a garantia no Brasil (importador ou representante com CNPJ).</t>
  </si>
  <si>
    <t xml:space="preserve">INVERSOR AUXSOL - MARCA DE BAIXA PENETRACAO. O inversor e o componente que mais falha e o que sera trocado antes dos modulos. Por R$ 1.000 a mais a SunWash oferece HUAWEI, com garantia de fabrica maior, assistencia estabelecida e monitoramento maduro. RECOMENDACAO: pagar a diferenca e ficar com o Huawei.</t>
  </si>
  <si>
    <t xml:space="preserve">INVERSOR DE 5 kW COM 6,20 kWp NAO DEIXA FOLGA DE EXPANSAO. O limite pratico de DC/AC de 1,35 da 6,75 kWp: nao cabe nem um modulo de 620 W a mais. Se a quilometragem do BYD crescer, sera preciso trocar o inversor e refazer a homologacao. Pedir a versao com inversor de 6 kW e comparar o preco.</t>
  </si>
  <si>
    <t xml:space="preserve">SUNWASH PROMETE 700 kWh/mes PARA 6,20 kWp = 1.355 kWh por kWp ao ano. No seu telhado Sudeste o calculo da ~1.264. Diferenca de ~7%. Menos exagerado que a TecSolarSP, mas ainda otimista - exigir a simulacao com o azimute real.</t>
  </si>
  <si>
    <t xml:space="preserve">O ACRESCIMO DE R$ 1.800 PELA REGIAO NAO FOI REPETIDO NO ORCAMENTO TCL. Confirmar por escrito se o preco de R$ 14.220,34 / R$ 15.220,34 e o valor FINAL entregue em Sao Paulo capital, ou se o acrescimo ainda incide.</t>
  </si>
  <si>
    <t xml:space="preserve">'ESTRUTURA, PROTECOES, CABOS E HOMOLOGACAO INCLUSOS' precisa virar lista item a item. Exigir: modelo da estrutura e para qual tipo de telha, DPS CC e CA, disjuntores, string box, bitola dos cabos, ART e quem protocola na Enel.</t>
  </si>
  <si>
    <t xml:space="preserve">ASSISTENCIA TECNICA A 340 km. A SunWash anuncia atendimento para Ribeirao Preto ate 80 km e cobra R$ 1.800 para atender a sua regiao. Perguntar o prazo de atendimento em caso de falha e se ha equipe propria em Sao Paulo.</t>
  </si>
  <si>
    <t xml:space="preserve">COTACOES VENCIDAS. As cotacoes Belenergy valem 3 dias e foram emitidas em 08/08 e 10/08/2026. Pedir revalidacao de preco antes de fechar.</t>
  </si>
  <si>
    <t xml:space="preserve">2) DOCUMENTOS A EXIGIR DE CADA FORNECEDOR</t>
  </si>
  <si>
    <t xml:space="preserve">Proposta comercial formal com razao social, CNPJ, escopo completo, prazo de execucao e forma de pagamento.</t>
  </si>
  <si>
    <t xml:space="preserve">Relatorio de simulacao de geracao com azimute, inclinacao e sombreamento reais do telhado.</t>
  </si>
  <si>
    <t xml:space="preserve">Ficha tecnica e registro INMETRO do modulo e do inversor.</t>
  </si>
  <si>
    <t xml:space="preserve">Garantias por escrito: modulo (produto e performance), inversor, estrutura e mao de obra.</t>
  </si>
  <si>
    <t xml:space="preserve">Responsabilidade pela homologacao na Enel, com ART emitida por profissional com CREA ou CFT.</t>
  </si>
  <si>
    <t xml:space="preserve">Quem paga a adequacao do padrao de entrada e o aumento de carga, se a Enel exigir.</t>
  </si>
  <si>
    <t xml:space="preserve">Garantia contra infiltracao no telhado apos a perfuracao para fixacao da estrutura.</t>
  </si>
  <si>
    <t xml:space="preserve">Prazo de atendimento tecnico e distancia da equipe.</t>
  </si>
  <si>
    <t xml:space="preserve">Acesso do proprietario ao monitoramento (app) e se ha mensalidade.</t>
  </si>
  <si>
    <t xml:space="preserve">3) INSTALACAO ELETRICA E CARREGADOR DO BYD</t>
  </si>
  <si>
    <t xml:space="preserve">Levantamento do padrao atual: numero de fases (hoje MONOFASICO), corrente do disjuntor geral e carga instalada.</t>
  </si>
  <si>
    <t xml:space="preserve">Calculo de demanda somando residencia + inversor + carregador do veiculo, para saber se e preciso aumento de carga na Enel.</t>
  </si>
  <si>
    <t xml:space="preserve">Circuito EXCLUSIVO para o carregador, com disjuntor dedicado e condutor dimensionado a 125% da corrente (NBR 5410, carga continua).</t>
  </si>
  <si>
    <t xml:space="preserve">DPS no quadro do lado CA e DR/DDR conforme exigencia do fabricante do carregador.</t>
  </si>
  <si>
    <t xml:space="preserve">Medicao da resistencia de aterramento. Inversor e carregador dependem de aterramento adequado.</t>
  </si>
  <si>
    <t xml:space="preserve">Espaco livre no quadro de distribuicao para os novos disjuntores.</t>
  </si>
  <si>
    <t xml:space="preserve">Definir o horario de carregamento. Telhado Sudeste gera mais de manha: carregar entre 9h e 14h aproveita a geracao direta e nao paga Fio B.</t>
  </si>
  <si>
    <t xml:space="preserve">4) SO SE CONFIRMA COM INSPECAO PRESENCIAL - NAO ACEITE APENAS 'OK' NO WHATSAPP</t>
  </si>
  <si>
    <t xml:space="preserve">Capacidade estrutural do telhado e das tercas para receber de 10 a 14 modulos.</t>
  </si>
  <si>
    <t xml:space="preserve">Area util real da agua Sudeste e quantas placas realmente cabem. NAO foram enviadas fotos do telhado: esta analise nao avaliou area disponivel, sombras, chamines, caixa d'agua nem obstaculos.</t>
  </si>
  <si>
    <t xml:space="preserve">Sombreamento ao longo do dia e do ano (arvores, caixa d'agua, muros, vizinhos).</t>
  </si>
  <si>
    <t xml:space="preserve">Distancia real do telhado ao inversor e do inversor ao quadro, para definir a bitola dos cabos.</t>
  </si>
  <si>
    <t xml:space="preserve">Estado do padrao de entrada, do ramal e do medidor.</t>
  </si>
  <si>
    <t xml:space="preserve">FORMULARIO PARA OS PROXIMOS ORCAMENTOS</t>
  </si>
  <si>
    <t xml:space="preserve">Preencha uma coluna por vendedor. Depois copie os valores para as colunas correspondentes da aba COMPARATIVO.</t>
  </si>
  <si>
    <t xml:space="preserve">DADO A COLETAR</t>
  </si>
  <si>
    <t xml:space="preserve">Bruno G4</t>
  </si>
  <si>
    <t xml:space="preserve">Vendedor 6</t>
  </si>
  <si>
    <t xml:space="preserve">Vendedor 7</t>
  </si>
  <si>
    <t xml:space="preserve">POR QUE IMPORTA</t>
  </si>
  <si>
    <t xml:space="preserve">Empresa / razao social / CNPJ</t>
  </si>
  <si>
    <t xml:space="preserve">Sem CNPJ nao existe garantia exigivel.</t>
  </si>
  <si>
    <t xml:space="preserve">Contato</t>
  </si>
  <si>
    <t xml:space="preserve">Bruno G4: (11) 96861-7830</t>
  </si>
  <si>
    <t xml:space="preserve">Data da proposta e validade</t>
  </si>
  <si>
    <t xml:space="preserve">Cotacoes de material valem poucos dias.</t>
  </si>
  <si>
    <t xml:space="preserve">O PRECO E MATERIAL OU INSTALADO?</t>
  </si>
  <si>
    <t xml:space="preserve">Pergunta mais importante da lista. Nunca compare os dois tipos.</t>
  </si>
  <si>
    <t xml:space="preserve">Base do dimensionamento.</t>
  </si>
  <si>
    <t xml:space="preserve">Quantidade x potencia / 1000 = kWp.</t>
  </si>
  <si>
    <t xml:space="preserve">Fabricante, modelo e tecnologia do modulo</t>
  </si>
  <si>
    <t xml:space="preserve">N-type TOPCon degrada menos que PERC.</t>
  </si>
  <si>
    <t xml:space="preserve">Potencia total DC (kWp)</t>
  </si>
  <si>
    <t xml:space="preserve">Confira se fecha com quantidade x potencia.</t>
  </si>
  <si>
    <t xml:space="preserve">Fabricante e modelo exato do inversor</t>
  </si>
  <si>
    <t xml:space="preserve">Exigir o codigo, nao 'hibrido 6 kW'.</t>
  </si>
  <si>
    <t xml:space="preserve">Limita a injecao e a expansao futura.</t>
  </si>
  <si>
    <t xml:space="preserve">Corrente maxima por MPPT (A)</t>
  </si>
  <si>
    <t xml:space="preserve">Precisa ser maior que a corrente do modulo.</t>
  </si>
  <si>
    <t xml:space="preserve">Corrente de operacao do modulo - Impp (A)</t>
  </si>
  <si>
    <t xml:space="preserve">Se for maior que a do MPPT, perde geracao.</t>
  </si>
  <si>
    <t xml:space="preserve">2 ou mais ajuda em telhado com aguas diferentes.</t>
  </si>
  <si>
    <t xml:space="preserve">O inversor aceita bateria? Qual modelo?</t>
  </si>
  <si>
    <t xml:space="preserve">Se cobra 'hibrido', tem que entregar hibrido.</t>
  </si>
  <si>
    <t xml:space="preserve">Geracao prometida (kWh/mes e kWh/ano)</t>
  </si>
  <si>
    <t xml:space="preserve">Compare com a coluna I da aba GERACAO.</t>
  </si>
  <si>
    <t xml:space="preserve">A simulacao usou qual azimute e inclinacao?</t>
  </si>
  <si>
    <t xml:space="preserve">Se usou Norte, nao vale para o seu telhado Sudeste.</t>
  </si>
  <si>
    <t xml:space="preserve">Software da simulacao e relatorio em PDF</t>
  </si>
  <si>
    <t xml:space="preserve">PVsol, PVsyst ou Solergo. Recusar planilha caseira.</t>
  </si>
  <si>
    <t xml:space="preserve">Considerou o carregamento diario do BYD?</t>
  </si>
  <si>
    <t xml:space="preserve">Se nao perguntou do carro, dimensionou pela conta antiga.</t>
  </si>
  <si>
    <t xml:space="preserve">Preco a vista (R$)</t>
  </si>
  <si>
    <t xml:space="preserve">Base do payback.</t>
  </si>
  <si>
    <t xml:space="preserve">Acrescimos (frete, regiao, estrutura)</t>
  </si>
  <si>
    <t xml:space="preserve">SunWash cobra +R$ 1.800 pela regiao.</t>
  </si>
  <si>
    <t xml:space="preserve">Inclui projeto, ART e homologacao na Enel?</t>
  </si>
  <si>
    <t xml:space="preserve">Sem isso o sistema nao compensa energia legalmente.</t>
  </si>
  <si>
    <t xml:space="preserve">Inclui protecao CA: disjuntor dedicado + DPS?</t>
  </si>
  <si>
    <t xml:space="preserve">Faltou nas duas cotacoes da TecSolarSP.</t>
  </si>
  <si>
    <t xml:space="preserve">Inclui aterramento e equipotencializacao?</t>
  </si>
  <si>
    <t xml:space="preserve">Faltou na cotacao Astronergy.</t>
  </si>
  <si>
    <t xml:space="preserve">INCLUI A ADEQUACAO DO PADRAO MONO -&gt; BIFASICO?</t>
  </si>
  <si>
    <t xml:space="preserve">Nenhum dos quatro incluiu. Pode custar milhares.</t>
  </si>
  <si>
    <t xml:space="preserve">Inclui o carregador do veiculo e o circuito dele?</t>
  </si>
  <si>
    <t xml:space="preserve">Circuito dedicado com disjuntor e DR proprios.</t>
  </si>
  <si>
    <t xml:space="preserve">Garantia do modulo: produto / performance (anos)</t>
  </si>
  <si>
    <t xml:space="preserve">Tipico: 12 a 15 anos produto, 25 a 30 performance.</t>
  </si>
  <si>
    <t xml:space="preserve">Garantia do inversor (anos)</t>
  </si>
  <si>
    <t xml:space="preserve">Tipico: 5 a 10 anos, extensivel.</t>
  </si>
  <si>
    <t xml:space="preserve">Garantia da instalacao e contra infiltracao</t>
  </si>
  <si>
    <t xml:space="preserve">Telhado perfurado e o maior risco pos-obra.</t>
  </si>
  <si>
    <t xml:space="preserve">Prazo de execucao (dias)</t>
  </si>
  <si>
    <t xml:space="preserve">Inclui o tempo de homologacao na Enel.</t>
  </si>
  <si>
    <t xml:space="preserve">Distancia da equipe de assistencia (km)</t>
  </si>
  <si>
    <t xml:space="preserve">Afeta o tempo de resposta em falha.</t>
  </si>
  <si>
    <t xml:space="preserve">TecSolarSP disse fibrocimento, William disse colonial.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</si>
</sst>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&quot;R$ &quot;#,##0.00"/>
    <numFmt numFmtId="167" formatCode="0.0%"/>
    <numFmt numFmtId="168" formatCode="#,##0.00"/>
    <numFmt numFmtId="169" formatCode="0.00\x"/>
    <numFmt numFmtId="170" formatCode="&quot;R$ &quot;0.000"/>
    <numFmt numFmtId="171" formatCode="&quot;R$ &quot;#,##0"/>
    <numFmt numFmtId="172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 t="s">
        <v>7</v>
      </c>
    </row>
    <row r="10" customFormat="false" ht="15" hidden="false" customHeight="false" outlineLevel="0" collapsed="false">
      <c r="B10" s="4" t="s">
        <v>8</v>
      </c>
    </row>
    <row r="11" customFormat="false" ht="15" hidden="false" customHeight="false" outlineLevel="0" collapsed="false">
      <c r="B11" s="4" t="s">
        <v>9</v>
      </c>
    </row>
    <row r="12" customFormat="false" ht="15" hidden="false" customHeight="false" outlineLevel="0" collapsed="false">
      <c r="B12" s="4" t="s">
        <v>10</v>
      </c>
    </row>
    <row r="13" customFormat="false" ht="15" hidden="false" customHeight="false" outlineLevel="0" collapsed="false">
      <c r="B13" s="4" t="s">
        <v>11</v>
      </c>
    </row>
    <row r="14" customFormat="false" ht="15" hidden="false" customHeight="false" outlineLevel="0" collapsed="false">
      <c r="B14" s="4" t="s">
        <v>12</v>
      </c>
    </row>
    <row r="15" customFormat="false" ht="15" hidden="false" customHeight="false" outlineLevel="0" collapsed="false">
      <c r="B15" s="4" t="s">
        <v>13</v>
      </c>
    </row>
    <row r="16" customFormat="false" ht="15" hidden="false" customHeight="false" outlineLevel="0" collapsed="false">
      <c r="B16" s="4" t="s">
        <v>14</v>
      </c>
    </row>
    <row r="17" customFormat="false" ht="15" hidden="false" customHeight="false" outlineLevel="0" collapsed="false">
      <c r="B17" s="4" t="s">
        <v>15</v>
      </c>
    </row>
    <row r="18" customFormat="false" ht="15" hidden="false" customHeight="false" outlineLevel="0" collapsed="false">
      <c r="B18" s="4" t="s">
        <v>16</v>
      </c>
    </row>
    <row r="19" customFormat="false" ht="15" hidden="false" customHeight="false" outlineLevel="0" collapsed="false">
      <c r="B19" s="4" t="s">
        <v>17</v>
      </c>
    </row>
    <row r="20" customFormat="false" ht="15" hidden="false" customHeight="false" outlineLevel="0" collapsed="false">
      <c r="B20" s="4" t="s">
        <v>18</v>
      </c>
    </row>
    <row r="21" customFormat="false" ht="15" hidden="false" customHeight="false" outlineLevel="0" collapsed="false">
      <c r="B21" s="4" t="s">
        <v>19</v>
      </c>
    </row>
    <row r="22" customFormat="false" ht="15" hidden="false" customHeight="false" outlineLevel="0" collapsed="false">
      <c r="B22" s="4" t="s">
        <v>20</v>
      </c>
    </row>
    <row r="23" customFormat="false" ht="15" hidden="false" customHeight="false" outlineLevel="0" collapsed="false">
      <c r="B23" s="4" t="s">
        <v>21</v>
      </c>
    </row>
    <row r="24" customFormat="false" ht="15" hidden="false" customHeight="false" outlineLevel="0" collapsed="false">
      <c r="B24" s="4"/>
    </row>
    <row r="25" customFormat="false" ht="15" hidden="false" customHeight="false" outlineLevel="0" collapsed="false">
      <c r="B25" s="3" t="s">
        <v>22</v>
      </c>
    </row>
    <row r="26" customFormat="false" ht="15" hidden="false" customHeight="false" outlineLevel="0" collapsed="false">
      <c r="B26" s="5" t="s">
        <v>23</v>
      </c>
    </row>
    <row r="27" customFormat="false" ht="15" hidden="false" customHeight="false" outlineLevel="0" collapsed="false">
      <c r="B27" s="4" t="s">
        <v>24</v>
      </c>
    </row>
    <row r="28" customFormat="false" ht="15" hidden="false" customHeight="false" outlineLevel="0" collapsed="false">
      <c r="B28" s="4" t="s">
        <v>25</v>
      </c>
    </row>
    <row r="29" customFormat="false" ht="15" hidden="false" customHeight="false" outlineLevel="0" collapsed="false">
      <c r="B29" s="4" t="s">
        <v>26</v>
      </c>
    </row>
    <row r="30" customFormat="false" ht="15" hidden="false" customHeight="false" outlineLevel="0" collapsed="false">
      <c r="B30" s="4" t="s">
        <v>27</v>
      </c>
    </row>
    <row r="31" customFormat="false" ht="15" hidden="false" customHeight="false" outlineLevel="0" collapsed="false">
      <c r="B31" s="5" t="s">
        <v>28</v>
      </c>
    </row>
    <row r="32" customFormat="false" ht="15" hidden="false" customHeight="false" outlineLevel="0" collapsed="false">
      <c r="B32" s="4" t="s">
        <v>29</v>
      </c>
    </row>
    <row r="33" customFormat="false" ht="15" hidden="false" customHeight="false" outlineLevel="0" collapsed="false">
      <c r="B33" s="4" t="s">
        <v>30</v>
      </c>
    </row>
    <row r="34" customFormat="false" ht="15" hidden="false" customHeight="false" outlineLevel="0" collapsed="false">
      <c r="B34" s="4" t="s">
        <v>31</v>
      </c>
    </row>
    <row r="35" customFormat="false" ht="15" hidden="false" customHeight="false" outlineLevel="0" collapsed="false">
      <c r="B35" s="5" t="s">
        <v>32</v>
      </c>
    </row>
    <row r="36" customFormat="false" ht="15" hidden="false" customHeight="false" outlineLevel="0" collapsed="false">
      <c r="B36" s="4" t="s">
        <v>33</v>
      </c>
    </row>
    <row r="37" customFormat="false" ht="15" hidden="false" customHeight="false" outlineLevel="0" collapsed="false">
      <c r="B37" s="4" t="s">
        <v>34</v>
      </c>
    </row>
    <row r="38" customFormat="false" ht="15" hidden="false" customHeight="false" outlineLevel="0" collapsed="false">
      <c r="B38" s="4" t="s">
        <v>35</v>
      </c>
    </row>
    <row r="39" customFormat="false" ht="15" hidden="false" customHeight="false" outlineLevel="0" collapsed="false">
      <c r="B39" s="4" t="s">
        <v>36</v>
      </c>
    </row>
    <row r="40" customFormat="false" ht="15" hidden="false" customHeight="false" outlineLevel="0" collapsed="false">
      <c r="B40" s="4"/>
    </row>
    <row r="41" customFormat="false" ht="15" hidden="false" customHeight="false" outlineLevel="0" collapsed="false">
      <c r="B41" s="3" t="s">
        <v>37</v>
      </c>
    </row>
    <row r="42" customFormat="false" ht="15" hidden="false" customHeight="false" outlineLevel="0" collapsed="false">
      <c r="B42" s="4" t="s">
        <v>38</v>
      </c>
    </row>
    <row r="43" customFormat="false" ht="15" hidden="false" customHeight="false" outlineLevel="0" collapsed="false">
      <c r="B43" s="4" t="s">
        <v>39</v>
      </c>
    </row>
    <row r="44" customFormat="false" ht="15" hidden="false" customHeight="false" outlineLevel="0" collapsed="false">
      <c r="B44" s="4" t="s">
        <v>40</v>
      </c>
    </row>
    <row r="45" customFormat="false" ht="15" hidden="false" customHeight="false" outlineLevel="0" collapsed="false">
      <c r="B45" s="4" t="s">
        <v>41</v>
      </c>
    </row>
    <row r="46" customFormat="false" ht="15" hidden="false" customHeight="false" outlineLevel="0" collapsed="false">
      <c r="B46" s="4"/>
    </row>
    <row r="47" customFormat="false" ht="15" hidden="false" customHeight="false" outlineLevel="0" collapsed="false">
      <c r="B47" s="3" t="s">
        <v>42</v>
      </c>
    </row>
    <row r="48" customFormat="false" ht="15" hidden="false" customHeight="false" outlineLevel="0" collapsed="false">
      <c r="B48" s="4" t="s">
        <v>43</v>
      </c>
    </row>
    <row r="49" customFormat="false" ht="15" hidden="false" customHeight="false" outlineLevel="0" collapsed="false">
      <c r="B49" s="4" t="s">
        <v>44</v>
      </c>
    </row>
    <row r="50" customFormat="false" ht="15" hidden="false" customHeight="false" outlineLevel="0" collapsed="false">
      <c r="B50" s="4" t="s">
        <v>45</v>
      </c>
    </row>
    <row r="51" customFormat="false" ht="15" hidden="false" customHeight="false" outlineLevel="0" collapsed="false">
      <c r="B51" s="4"/>
    </row>
    <row r="52" customFormat="false" ht="15" hidden="false" customHeight="false" outlineLevel="0" collapsed="false">
      <c r="B52" s="3" t="s">
        <v>46</v>
      </c>
    </row>
    <row r="53" customFormat="false" ht="15" hidden="false" customHeight="false" outlineLevel="0" collapsed="false">
      <c r="B53" s="6" t="s">
        <v>47</v>
      </c>
    </row>
    <row r="54" customFormat="false" ht="15" hidden="false" customHeight="false" outlineLevel="0" collapsed="false">
      <c r="B54" s="4" t="s">
        <v>48</v>
      </c>
    </row>
    <row r="55" customFormat="false" ht="15" hidden="false" customHeight="false" outlineLevel="0" collapsed="false">
      <c r="B55" s="4"/>
    </row>
    <row r="56" customFormat="false" ht="15" hidden="false" customHeight="false" outlineLevel="0" collapsed="false">
      <c r="B56" s="3" t="s">
        <v>49</v>
      </c>
    </row>
    <row r="57" customFormat="false" ht="15" hidden="false" customHeight="false" outlineLevel="0" collapsed="false">
      <c r="B57" s="4" t="s">
        <v>50</v>
      </c>
    </row>
    <row r="58" customFormat="false" ht="15" hidden="false" customHeight="false" outlineLevel="0" collapsed="false">
      <c r="B58" s="4" t="s">
        <v>51</v>
      </c>
    </row>
    <row r="59" customFormat="false" ht="15" hidden="false" customHeight="false" outlineLevel="0" collapsed="false">
      <c r="B59" s="5" t="s">
        <v>52</v>
      </c>
    </row>
    <row r="60" customFormat="false" ht="15" hidden="false" customHeight="false" outlineLevel="0" collapsed="false">
      <c r="B60" s="5" t="s">
        <v>53</v>
      </c>
    </row>
    <row r="61" customFormat="false" ht="15" hidden="false" customHeight="false" outlineLevel="0" collapsed="false">
      <c r="B61" s="5" t="s">
        <v>54</v>
      </c>
    </row>
    <row r="62" customFormat="false" ht="15" hidden="false" customHeight="false" outlineLevel="0" collapsed="false">
      <c r="B62" s="5" t="s">
        <v>55</v>
      </c>
    </row>
    <row r="63" customFormat="false" ht="15" hidden="false" customHeight="false" outlineLevel="0" collapsed="false">
      <c r="B63" s="4"/>
    </row>
    <row r="64" customFormat="false" ht="15" hidden="false" customHeight="false" outlineLevel="0" collapsed="false">
      <c r="B64" s="3" t="s">
        <v>56</v>
      </c>
    </row>
    <row r="65" customFormat="false" ht="15" hidden="false" customHeight="false" outlineLevel="0" collapsed="false">
      <c r="B65" s="4" t="s">
        <v>57</v>
      </c>
    </row>
    <row r="66" customFormat="false" ht="15" hidden="false" customHeight="false" outlineLevel="0" collapsed="false">
      <c r="B66" s="4" t="s">
        <v>58</v>
      </c>
    </row>
    <row r="67" customFormat="false" ht="15" hidden="false" customHeight="false" outlineLevel="0" collapsed="false">
      <c r="B67" s="4" t="s">
        <v>59</v>
      </c>
    </row>
    <row r="68" customFormat="false" ht="15" hidden="false" customHeight="false" outlineLevel="0" collapsed="false">
      <c r="B68" s="4" t="s">
        <v>60</v>
      </c>
    </row>
    <row r="69" customFormat="false" ht="15" hidden="false" customHeight="false" outlineLevel="0" collapsed="false">
      <c r="B69" s="4" t="s">
        <v>61</v>
      </c>
    </row>
    <row r="70" customFormat="false" ht="15" hidden="false" customHeight="false" outlineLevel="0" collapsed="false">
      <c r="B70" s="4" t="s">
        <v>62</v>
      </c>
    </row>
    <row r="71" customFormat="false" ht="15" hidden="false" customHeight="false" outlineLevel="0" collapsed="false">
      <c r="B71" s="4" t="s">
        <v>63</v>
      </c>
    </row>
    <row r="72" customFormat="false" ht="15" hidden="false" customHeight="false" outlineLevel="0" collapsed="false">
      <c r="B72" s="4" t="s">
        <v>64</v>
      </c>
    </row>
    <row r="73" customFormat="false" ht="15" hidden="false" customHeight="false" outlineLevel="0" collapsed="false">
      <c r="B73" s="4" t="s">
        <v>65</v>
      </c>
    </row>
    <row r="74" customFormat="false" ht="15" hidden="false" customHeight="false" outlineLevel="0" collapsed="false">
      <c r="B74" s="4" t="s">
        <v>66</v>
      </c>
    </row>
    <row r="75" customFormat="false" ht="15" hidden="false" customHeight="false" outlineLevel="0" collapsed="false">
      <c r="B75" s="4" t="s">
        <v>67</v>
      </c>
    </row>
    <row r="76" customFormat="false" ht="15" hidden="false" customHeight="false" outlineLevel="0" collapsed="false">
      <c r="B76" s="4" t="s">
        <v>68</v>
      </c>
    </row>
    <row r="77" customFormat="false" ht="15" hidden="false" customHeight="false" outlineLevel="0" collapsed="false">
      <c r="B77" s="4"/>
    </row>
    <row r="78" customFormat="false" ht="15" hidden="false" customHeight="false" outlineLevel="0" collapsed="false">
      <c r="B78" s="3" t="s">
        <v>69</v>
      </c>
    </row>
    <row r="79" customFormat="false" ht="15" hidden="false" customHeight="false" outlineLevel="0" collapsed="false">
      <c r="B79" s="4" t="s">
        <v>70</v>
      </c>
    </row>
    <row r="80" customFormat="false" ht="15" hidden="false" customHeight="false" outlineLevel="0" collapsed="false">
      <c r="B80" s="4" t="s">
        <v>71</v>
      </c>
    </row>
    <row r="81" customFormat="false" ht="15" hidden="false" customHeight="false" outlineLevel="0" collapsed="false">
      <c r="B81" s="4" t="s">
        <v>72</v>
      </c>
    </row>
    <row r="82" customFormat="false" ht="15" hidden="false" customHeight="false" outlineLevel="0" collapsed="false">
      <c r="B82" s="4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15" hidden="false" customHeight="false" outlineLevel="0" collapsed="false">
      <c r="B4" s="7" t="s">
        <v>76</v>
      </c>
      <c r="C4" s="8"/>
      <c r="D4" s="8"/>
      <c r="E4" s="8"/>
    </row>
    <row r="5" customFormat="false" ht="15" hidden="false" customHeight="false" outlineLevel="0" collapsed="false">
      <c r="B5" s="4" t="s">
        <v>77</v>
      </c>
      <c r="C5" s="9" t="s">
        <v>78</v>
      </c>
      <c r="D5" s="2"/>
      <c r="E5" s="2" t="s">
        <v>79</v>
      </c>
    </row>
    <row r="6" customFormat="false" ht="15" hidden="false" customHeight="false" outlineLevel="0" collapsed="false">
      <c r="B6" s="4" t="s">
        <v>80</v>
      </c>
      <c r="C6" s="9" t="s">
        <v>81</v>
      </c>
      <c r="D6" s="2"/>
      <c r="E6" s="10" t="s">
        <v>82</v>
      </c>
    </row>
    <row r="7" customFormat="false" ht="15" hidden="false" customHeight="false" outlineLevel="0" collapsed="false">
      <c r="B7" s="4" t="s">
        <v>83</v>
      </c>
      <c r="C7" s="9" t="s">
        <v>84</v>
      </c>
      <c r="D7" s="2"/>
      <c r="E7" s="2" t="s">
        <v>85</v>
      </c>
    </row>
    <row r="8" customFormat="false" ht="15" hidden="false" customHeight="false" outlineLevel="0" collapsed="false">
      <c r="B8" s="4" t="s">
        <v>86</v>
      </c>
      <c r="C8" s="9" t="s">
        <v>87</v>
      </c>
      <c r="D8" s="2"/>
      <c r="E8" s="2" t="s">
        <v>88</v>
      </c>
    </row>
    <row r="9" customFormat="false" ht="15" hidden="false" customHeight="false" outlineLevel="0" collapsed="false">
      <c r="B9" s="4" t="s">
        <v>89</v>
      </c>
      <c r="C9" s="11" t="n">
        <v>20</v>
      </c>
      <c r="D9" s="2" t="s">
        <v>90</v>
      </c>
      <c r="E9" s="2" t="s">
        <v>91</v>
      </c>
    </row>
    <row r="10" customFormat="false" ht="15" hidden="false" customHeight="false" outlineLevel="0" collapsed="false">
      <c r="B10" s="4" t="s">
        <v>92</v>
      </c>
      <c r="C10" s="9" t="s">
        <v>93</v>
      </c>
      <c r="D10" s="2"/>
      <c r="E10" s="10" t="s">
        <v>94</v>
      </c>
    </row>
    <row r="11" customFormat="false" ht="15" hidden="false" customHeight="false" outlineLevel="0" collapsed="false">
      <c r="B11" s="4" t="s">
        <v>95</v>
      </c>
      <c r="C11" s="9" t="s">
        <v>96</v>
      </c>
      <c r="D11" s="2"/>
      <c r="E11" s="2" t="s">
        <v>97</v>
      </c>
    </row>
    <row r="13" customFormat="false" ht="15" hidden="false" customHeight="false" outlineLevel="0" collapsed="false">
      <c r="B13" s="7" t="s">
        <v>98</v>
      </c>
      <c r="C13" s="8"/>
      <c r="D13" s="8"/>
      <c r="E13" s="8"/>
    </row>
    <row r="14" customFormat="false" ht="15" hidden="false" customHeight="false" outlineLevel="0" collapsed="false">
      <c r="B14" s="4" t="s">
        <v>99</v>
      </c>
      <c r="C14" s="9" t="s">
        <v>100</v>
      </c>
      <c r="D14" s="2"/>
      <c r="E14" s="2" t="s">
        <v>101</v>
      </c>
    </row>
    <row r="15" customFormat="false" ht="15" hidden="false" customHeight="false" outlineLevel="0" collapsed="false">
      <c r="B15" s="4" t="s">
        <v>102</v>
      </c>
      <c r="C15" s="11" t="n">
        <v>1</v>
      </c>
      <c r="D15" s="2" t="s">
        <v>103</v>
      </c>
      <c r="E15" s="2" t="s">
        <v>104</v>
      </c>
    </row>
    <row r="16" customFormat="false" ht="15" hidden="false" customHeight="false" outlineLevel="0" collapsed="false">
      <c r="B16" s="4" t="s">
        <v>105</v>
      </c>
      <c r="C16" s="11" t="n">
        <v>2</v>
      </c>
      <c r="D16" s="2" t="s">
        <v>103</v>
      </c>
      <c r="E16" s="10" t="s">
        <v>106</v>
      </c>
    </row>
    <row r="17" customFormat="false" ht="15" hidden="false" customHeight="false" outlineLevel="0" collapsed="false">
      <c r="B17" s="4" t="s">
        <v>107</v>
      </c>
      <c r="C17" s="12" t="n">
        <f aca="false">IF(C16=1,30,IF(C16=2,50,100))</f>
        <v>50</v>
      </c>
      <c r="D17" s="2" t="s">
        <v>108</v>
      </c>
      <c r="E17" s="2" t="s">
        <v>109</v>
      </c>
    </row>
    <row r="18" customFormat="false" ht="15" hidden="false" customHeight="false" outlineLevel="0" collapsed="false">
      <c r="B18" s="4" t="s">
        <v>110</v>
      </c>
      <c r="C18" s="13" t="n">
        <v>1.02147</v>
      </c>
      <c r="D18" s="2" t="s">
        <v>111</v>
      </c>
      <c r="E18" s="2" t="s">
        <v>112</v>
      </c>
    </row>
    <row r="19" customFormat="false" ht="15" hidden="false" customHeight="false" outlineLevel="0" collapsed="false">
      <c r="B19" s="4" t="s">
        <v>113</v>
      </c>
      <c r="C19" s="13" t="n">
        <v>0.59643</v>
      </c>
      <c r="D19" s="2" t="s">
        <v>111</v>
      </c>
      <c r="E19" s="2" t="s">
        <v>114</v>
      </c>
    </row>
    <row r="20" customFormat="false" ht="15" hidden="false" customHeight="false" outlineLevel="0" collapsed="false">
      <c r="B20" s="4" t="s">
        <v>115</v>
      </c>
      <c r="C20" s="13" t="n">
        <v>0.40085</v>
      </c>
      <c r="D20" s="2" t="s">
        <v>111</v>
      </c>
      <c r="E20" s="2" t="s">
        <v>116</v>
      </c>
    </row>
    <row r="21" customFormat="false" ht="15" hidden="false" customHeight="false" outlineLevel="0" collapsed="false">
      <c r="B21" s="4" t="s">
        <v>117</v>
      </c>
      <c r="C21" s="13" t="n">
        <v>0.02419</v>
      </c>
      <c r="D21" s="2" t="s">
        <v>111</v>
      </c>
      <c r="E21" s="2" t="s">
        <v>118</v>
      </c>
    </row>
    <row r="22" customFormat="false" ht="15" hidden="false" customHeight="false" outlineLevel="0" collapsed="false">
      <c r="B22" s="4" t="s">
        <v>119</v>
      </c>
      <c r="C22" s="14" t="n">
        <v>0.6</v>
      </c>
      <c r="D22" s="2"/>
      <c r="E22" s="10" t="s">
        <v>120</v>
      </c>
    </row>
    <row r="23" customFormat="false" ht="15" hidden="false" customHeight="false" outlineLevel="0" collapsed="false">
      <c r="B23" s="4" t="s">
        <v>121</v>
      </c>
      <c r="C23" s="15" t="n">
        <f aca="false">C19*C22</f>
        <v>0.357858</v>
      </c>
      <c r="D23" s="2" t="s">
        <v>111</v>
      </c>
      <c r="E23" s="2" t="s">
        <v>122</v>
      </c>
    </row>
    <row r="24" customFormat="false" ht="15" hidden="false" customHeight="false" outlineLevel="0" collapsed="false">
      <c r="B24" s="4" t="s">
        <v>123</v>
      </c>
      <c r="C24" s="14" t="n">
        <v>0.6</v>
      </c>
      <c r="D24" s="2"/>
      <c r="E24" s="2" t="s">
        <v>124</v>
      </c>
    </row>
    <row r="25" customFormat="false" ht="15" hidden="false" customHeight="false" outlineLevel="0" collapsed="false">
      <c r="B25" s="4" t="s">
        <v>125</v>
      </c>
      <c r="C25" s="15" t="n">
        <f aca="false">C23*C24</f>
        <v>0.2147148</v>
      </c>
      <c r="D25" s="2" t="s">
        <v>111</v>
      </c>
      <c r="E25" s="2" t="s">
        <v>126</v>
      </c>
    </row>
    <row r="26" customFormat="false" ht="15" hidden="false" customHeight="false" outlineLevel="0" collapsed="false">
      <c r="B26" s="4" t="s">
        <v>127</v>
      </c>
      <c r="C26" s="13" t="n">
        <v>21.11</v>
      </c>
      <c r="D26" s="2" t="s">
        <v>128</v>
      </c>
      <c r="E26" s="2" t="s">
        <v>129</v>
      </c>
    </row>
    <row r="27" customFormat="false" ht="15" hidden="false" customHeight="false" outlineLevel="0" collapsed="false">
      <c r="B27" s="4" t="s">
        <v>130</v>
      </c>
      <c r="C27" s="14" t="n">
        <v>0.07</v>
      </c>
      <c r="D27" s="2" t="s">
        <v>131</v>
      </c>
      <c r="E27" s="2" t="s">
        <v>132</v>
      </c>
    </row>
    <row r="28" customFormat="false" ht="15" hidden="false" customHeight="false" outlineLevel="0" collapsed="false">
      <c r="B28" s="4" t="s">
        <v>133</v>
      </c>
      <c r="C28" s="13" t="n">
        <v>2500</v>
      </c>
      <c r="D28" s="2" t="s">
        <v>134</v>
      </c>
      <c r="E28" s="10" t="s">
        <v>135</v>
      </c>
    </row>
    <row r="30" customFormat="false" ht="15" hidden="false" customHeight="false" outlineLevel="0" collapsed="false">
      <c r="B30" s="7" t="s">
        <v>136</v>
      </c>
      <c r="C30" s="8"/>
      <c r="D30" s="8"/>
      <c r="E30" s="8"/>
    </row>
    <row r="31" customFormat="false" ht="15" hidden="false" customHeight="false" outlineLevel="0" collapsed="false">
      <c r="B31" s="4" t="s">
        <v>137</v>
      </c>
      <c r="C31" s="14" t="n">
        <v>0.79</v>
      </c>
      <c r="D31" s="2"/>
      <c r="E31" s="2" t="s">
        <v>138</v>
      </c>
    </row>
    <row r="32" customFormat="false" ht="15" hidden="false" customHeight="false" outlineLevel="0" collapsed="false">
      <c r="B32" s="4" t="s">
        <v>139</v>
      </c>
      <c r="C32" s="14" t="n">
        <v>0.72</v>
      </c>
      <c r="D32" s="2"/>
      <c r="E32" s="2" t="s">
        <v>140</v>
      </c>
    </row>
    <row r="33" customFormat="false" ht="15" hidden="false" customHeight="false" outlineLevel="0" collapsed="false">
      <c r="B33" s="4" t="s">
        <v>141</v>
      </c>
      <c r="C33" s="14" t="n">
        <v>0.02</v>
      </c>
      <c r="D33" s="2"/>
      <c r="E33" s="2" t="s">
        <v>142</v>
      </c>
    </row>
    <row r="34" customFormat="false" ht="15" hidden="false" customHeight="false" outlineLevel="0" collapsed="false">
      <c r="B34" s="4" t="s">
        <v>143</v>
      </c>
      <c r="C34" s="14" t="n">
        <v>0.0045</v>
      </c>
      <c r="D34" s="2" t="s">
        <v>131</v>
      </c>
      <c r="E34" s="2" t="s">
        <v>144</v>
      </c>
    </row>
    <row r="35" customFormat="false" ht="15" hidden="false" customHeight="false" outlineLevel="0" collapsed="false">
      <c r="B35" s="4" t="s">
        <v>145</v>
      </c>
      <c r="C35" s="13" t="n">
        <v>300</v>
      </c>
      <c r="D35" s="2" t="s">
        <v>146</v>
      </c>
      <c r="E35" s="2" t="s">
        <v>147</v>
      </c>
    </row>
    <row r="36" customFormat="false" ht="15" hidden="false" customHeight="false" outlineLevel="0" collapsed="false">
      <c r="B36" s="4" t="s">
        <v>148</v>
      </c>
      <c r="C36" s="13" t="n">
        <v>150</v>
      </c>
      <c r="D36" s="2" t="s">
        <v>146</v>
      </c>
      <c r="E36" s="2" t="s">
        <v>149</v>
      </c>
    </row>
    <row r="37" customFormat="false" ht="15" hidden="false" customHeight="false" outlineLevel="0" collapsed="false">
      <c r="B37" s="4" t="s">
        <v>150</v>
      </c>
      <c r="C37" s="14" t="n">
        <v>0.3</v>
      </c>
      <c r="D37" s="2"/>
      <c r="E37" s="2" t="s">
        <v>151</v>
      </c>
    </row>
    <row r="39" customFormat="false" ht="15" hidden="false" customHeight="false" outlineLevel="0" collapsed="false">
      <c r="B39" s="7" t="s">
        <v>152</v>
      </c>
      <c r="C39" s="8"/>
      <c r="D39" s="8"/>
      <c r="E39" s="8"/>
    </row>
    <row r="40" customFormat="false" ht="15" hidden="false" customHeight="false" outlineLevel="0" collapsed="false">
      <c r="B40" s="4" t="s">
        <v>153</v>
      </c>
      <c r="C40" s="9" t="s">
        <v>154</v>
      </c>
      <c r="D40" s="2"/>
      <c r="E40" s="2" t="s">
        <v>155</v>
      </c>
    </row>
    <row r="41" customFormat="false" ht="15" hidden="false" customHeight="false" outlineLevel="0" collapsed="false">
      <c r="B41" s="4" t="s">
        <v>156</v>
      </c>
      <c r="C41" s="16" t="n">
        <v>12.9</v>
      </c>
      <c r="D41" s="2" t="s">
        <v>157</v>
      </c>
      <c r="E41" s="10" t="s">
        <v>158</v>
      </c>
    </row>
    <row r="42" customFormat="false" ht="15" hidden="false" customHeight="false" outlineLevel="0" collapsed="false">
      <c r="B42" s="4" t="s">
        <v>159</v>
      </c>
      <c r="C42" s="16" t="n">
        <v>16</v>
      </c>
      <c r="D42" s="2" t="s">
        <v>160</v>
      </c>
      <c r="E42" s="10" t="s">
        <v>161</v>
      </c>
    </row>
    <row r="43" customFormat="false" ht="15" hidden="false" customHeight="false" outlineLevel="0" collapsed="false">
      <c r="B43" s="4" t="s">
        <v>162</v>
      </c>
      <c r="C43" s="11" t="n">
        <v>80</v>
      </c>
      <c r="D43" s="2" t="s">
        <v>163</v>
      </c>
      <c r="E43" s="2" t="s">
        <v>155</v>
      </c>
    </row>
    <row r="44" customFormat="false" ht="15" hidden="false" customHeight="false" outlineLevel="0" collapsed="false">
      <c r="B44" s="4" t="s">
        <v>164</v>
      </c>
      <c r="C44" s="11" t="n">
        <v>30</v>
      </c>
      <c r="D44" s="2" t="s">
        <v>165</v>
      </c>
      <c r="E44" s="2" t="s">
        <v>166</v>
      </c>
    </row>
    <row r="45" customFormat="false" ht="15" hidden="false" customHeight="false" outlineLevel="0" collapsed="false">
      <c r="B45" s="4" t="s">
        <v>167</v>
      </c>
      <c r="C45" s="14" t="n">
        <v>0.86</v>
      </c>
      <c r="D45" s="2"/>
      <c r="E45" s="2" t="s">
        <v>168</v>
      </c>
    </row>
    <row r="46" customFormat="false" ht="15" hidden="false" customHeight="false" outlineLevel="0" collapsed="false">
      <c r="B46" s="4" t="s">
        <v>169</v>
      </c>
      <c r="C46" s="16" t="n">
        <v>3.3</v>
      </c>
      <c r="D46" s="2" t="s">
        <v>170</v>
      </c>
      <c r="E46" s="10" t="s">
        <v>171</v>
      </c>
    </row>
    <row r="47" customFormat="false" ht="15" hidden="false" customHeight="false" outlineLevel="0" collapsed="false">
      <c r="B47" s="4" t="s">
        <v>172</v>
      </c>
      <c r="C47" s="9" t="s">
        <v>173</v>
      </c>
      <c r="D47" s="2"/>
      <c r="E47" s="2" t="s">
        <v>174</v>
      </c>
    </row>
    <row r="48" customFormat="false" ht="15" hidden="false" customHeight="false" outlineLevel="0" collapsed="false">
      <c r="B48" s="4" t="s">
        <v>175</v>
      </c>
      <c r="C48" s="14" t="n">
        <v>0.15</v>
      </c>
      <c r="D48" s="2"/>
      <c r="E48" s="2" t="s">
        <v>176</v>
      </c>
    </row>
    <row r="49" customFormat="false" ht="15" hidden="false" customHeight="false" outlineLevel="0" collapsed="false">
      <c r="B49" s="4" t="s">
        <v>177</v>
      </c>
      <c r="C49" s="14" t="n">
        <v>0.25</v>
      </c>
      <c r="D49" s="2"/>
      <c r="E49" s="2" t="s">
        <v>178</v>
      </c>
    </row>
    <row r="51" customFormat="false" ht="15" hidden="false" customHeight="false" outlineLevel="0" collapsed="false">
      <c r="B51" s="7" t="s">
        <v>179</v>
      </c>
      <c r="C51" s="8"/>
      <c r="D51" s="8"/>
      <c r="E51" s="8"/>
    </row>
    <row r="52" customFormat="false" ht="15" hidden="false" customHeight="false" outlineLevel="0" collapsed="false">
      <c r="B52" s="4" t="s">
        <v>180</v>
      </c>
      <c r="C52" s="12" t="n">
        <f aca="false">CONTA!C77*30.4</f>
        <v>351.82709306637</v>
      </c>
      <c r="D52" s="2" t="s">
        <v>108</v>
      </c>
      <c r="E52" s="2" t="s">
        <v>181</v>
      </c>
    </row>
    <row r="53" customFormat="false" ht="15" hidden="false" customHeight="false" outlineLevel="0" collapsed="false">
      <c r="B53" s="4" t="s">
        <v>182</v>
      </c>
      <c r="C53" s="12" t="n">
        <f aca="false">CONTA!C78*30.4</f>
        <v>467.640097526994</v>
      </c>
      <c r="D53" s="2" t="s">
        <v>108</v>
      </c>
      <c r="E53" s="2" t="s">
        <v>183</v>
      </c>
    </row>
    <row r="54" customFormat="false" ht="15" hidden="false" customHeight="false" outlineLevel="0" collapsed="false">
      <c r="B54" s="4" t="s">
        <v>184</v>
      </c>
      <c r="C54" s="13" t="n">
        <v>900</v>
      </c>
      <c r="D54" s="2" t="s">
        <v>185</v>
      </c>
      <c r="E54" s="10" t="s">
        <v>186</v>
      </c>
    </row>
    <row r="56" customFormat="false" ht="15" hidden="false" customHeight="false" outlineLevel="0" collapsed="false">
      <c r="B56" s="7" t="s">
        <v>187</v>
      </c>
      <c r="C56" s="8"/>
      <c r="D56" s="8"/>
      <c r="E56" s="8"/>
    </row>
    <row r="57" customFormat="false" ht="15" hidden="false" customHeight="false" outlineLevel="0" collapsed="false">
      <c r="B57" s="4" t="s">
        <v>188</v>
      </c>
      <c r="C57" s="14" t="n">
        <v>0.5</v>
      </c>
      <c r="D57" s="2" t="s">
        <v>189</v>
      </c>
      <c r="E57" s="2" t="s">
        <v>190</v>
      </c>
    </row>
    <row r="58" customFormat="false" ht="15" hidden="false" customHeight="false" outlineLevel="0" collapsed="false">
      <c r="B58" s="4" t="s">
        <v>191</v>
      </c>
      <c r="C58" s="11" t="n">
        <v>1</v>
      </c>
      <c r="D58" s="2" t="s">
        <v>192</v>
      </c>
      <c r="E58" s="2" t="s">
        <v>193</v>
      </c>
    </row>
    <row r="60" customFormat="false" ht="15" hidden="false" customHeight="false" outlineLevel="0" collapsed="false">
      <c r="B60" s="7" t="s">
        <v>194</v>
      </c>
      <c r="C60" s="8"/>
      <c r="D60" s="8"/>
      <c r="E60" s="8"/>
    </row>
    <row r="61" customFormat="false" ht="15" hidden="false" customHeight="false" outlineLevel="0" collapsed="false">
      <c r="B61" s="4" t="s">
        <v>195</v>
      </c>
      <c r="C61" s="16" t="n">
        <v>16</v>
      </c>
      <c r="D61" s="2" t="s">
        <v>196</v>
      </c>
      <c r="E61" s="10" t="s">
        <v>197</v>
      </c>
    </row>
    <row r="62" customFormat="false" ht="15" hidden="false" customHeight="false" outlineLevel="0" collapsed="false">
      <c r="B62" s="4" t="s">
        <v>198</v>
      </c>
      <c r="C62" s="13" t="n">
        <v>6.2</v>
      </c>
      <c r="D62" s="2" t="s">
        <v>199</v>
      </c>
      <c r="E62" s="10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3"/>
    <col collapsed="false" customWidth="true" hidden="false" outlineLevel="0" max="7" min="7" style="0" width="42"/>
    <col collapsed="false" customWidth="true" hidden="false" outlineLevel="0" max="8" min="8" style="0" width="16"/>
    <col collapsed="false" customWidth="true" hidden="false" outlineLevel="0" max="9" min="9" style="0" width="52"/>
  </cols>
  <sheetData>
    <row r="1" customFormat="false" ht="17.35" hidden="false" customHeight="false" outlineLevel="0" collapsed="false">
      <c r="A1" s="1" t="s">
        <v>201</v>
      </c>
    </row>
    <row r="2" customFormat="false" ht="15" hidden="false" customHeight="false" outlineLevel="0" collapsed="false">
      <c r="A2" s="2" t="s">
        <v>202</v>
      </c>
    </row>
    <row r="4" customFormat="false" ht="15" hidden="false" customHeight="false" outlineLevel="0" collapsed="false">
      <c r="B4" s="7" t="s">
        <v>203</v>
      </c>
      <c r="C4" s="8"/>
      <c r="D4" s="8"/>
      <c r="E4" s="8"/>
      <c r="G4" s="7" t="s">
        <v>204</v>
      </c>
      <c r="H4" s="8"/>
      <c r="I4" s="8"/>
    </row>
    <row r="5" customFormat="false" ht="15" hidden="false" customHeight="false" outlineLevel="0" collapsed="false">
      <c r="B5" s="17" t="s">
        <v>205</v>
      </c>
      <c r="C5" s="17" t="s">
        <v>206</v>
      </c>
      <c r="D5" s="17" t="s">
        <v>207</v>
      </c>
      <c r="E5" s="17" t="s">
        <v>208</v>
      </c>
      <c r="G5" s="4" t="s">
        <v>209</v>
      </c>
      <c r="H5" s="13" t="n">
        <v>322.07</v>
      </c>
      <c r="I5" s="2" t="s">
        <v>210</v>
      </c>
    </row>
    <row r="6" customFormat="false" ht="15" hidden="false" customHeight="false" outlineLevel="0" collapsed="false">
      <c r="B6" s="18" t="s">
        <v>211</v>
      </c>
      <c r="C6" s="11" t="n">
        <v>389</v>
      </c>
      <c r="D6" s="11" t="n">
        <v>32</v>
      </c>
      <c r="E6" s="19" t="n">
        <f aca="false">IFERROR(C6/D6,0)</f>
        <v>12.15625</v>
      </c>
      <c r="G6" s="4" t="s">
        <v>212</v>
      </c>
      <c r="H6" s="13" t="n">
        <v>216.46</v>
      </c>
      <c r="I6" s="2" t="s">
        <v>213</v>
      </c>
    </row>
    <row r="7" customFormat="false" ht="15" hidden="false" customHeight="false" outlineLevel="0" collapsed="false">
      <c r="B7" s="18" t="s">
        <v>214</v>
      </c>
      <c r="C7" s="11" t="n">
        <v>364</v>
      </c>
      <c r="D7" s="11" t="n">
        <v>31</v>
      </c>
      <c r="E7" s="19" t="n">
        <f aca="false">IFERROR(C7/D7,0)</f>
        <v>11.741935483871</v>
      </c>
      <c r="G7" s="4" t="s">
        <v>215</v>
      </c>
      <c r="H7" s="13" t="n">
        <v>13.06</v>
      </c>
      <c r="I7" s="2" t="s">
        <v>216</v>
      </c>
    </row>
    <row r="8" customFormat="false" ht="15" hidden="false" customHeight="false" outlineLevel="0" collapsed="false">
      <c r="B8" s="18" t="s">
        <v>217</v>
      </c>
      <c r="C8" s="20" t="n">
        <v>290</v>
      </c>
      <c r="D8" s="11" t="n">
        <v>29</v>
      </c>
      <c r="E8" s="19" t="n">
        <f aca="false">IFERROR(C8/D8,0)</f>
        <v>10</v>
      </c>
      <c r="G8" s="21" t="s">
        <v>218</v>
      </c>
      <c r="H8" s="22" t="n">
        <v>551.59</v>
      </c>
      <c r="I8" s="2" t="s">
        <v>219</v>
      </c>
    </row>
    <row r="9" customFormat="false" ht="15" hidden="false" customHeight="false" outlineLevel="0" collapsed="false">
      <c r="B9" s="18" t="s">
        <v>220</v>
      </c>
      <c r="C9" s="11" t="n">
        <v>375</v>
      </c>
      <c r="D9" s="11" t="n">
        <v>32</v>
      </c>
      <c r="E9" s="19" t="n">
        <f aca="false">IFERROR(C9/D9,0)</f>
        <v>11.71875</v>
      </c>
      <c r="G9" s="4" t="s">
        <v>221</v>
      </c>
      <c r="H9" s="13" t="n">
        <v>21.11</v>
      </c>
      <c r="I9" s="2" t="s">
        <v>222</v>
      </c>
    </row>
    <row r="10" customFormat="false" ht="15" hidden="false" customHeight="false" outlineLevel="0" collapsed="false">
      <c r="B10" s="18" t="s">
        <v>223</v>
      </c>
      <c r="C10" s="11" t="n">
        <v>337</v>
      </c>
      <c r="D10" s="11" t="n">
        <v>30</v>
      </c>
      <c r="E10" s="19" t="n">
        <f aca="false">IFERROR(C10/D10,0)</f>
        <v>11.2333333333333</v>
      </c>
      <c r="G10" s="21" t="s">
        <v>224</v>
      </c>
      <c r="H10" s="22" t="n">
        <v>572.7</v>
      </c>
      <c r="I10" s="2" t="s">
        <v>225</v>
      </c>
    </row>
    <row r="11" customFormat="false" ht="15" hidden="false" customHeight="false" outlineLevel="0" collapsed="false">
      <c r="B11" s="18" t="s">
        <v>226</v>
      </c>
      <c r="C11" s="11" t="n">
        <v>323</v>
      </c>
      <c r="D11" s="11" t="n">
        <v>29</v>
      </c>
      <c r="E11" s="19" t="n">
        <f aca="false">IFERROR(C11/D11,0)</f>
        <v>11.1379310344828</v>
      </c>
      <c r="G11" s="21" t="s">
        <v>227</v>
      </c>
      <c r="H11" s="23" t="n">
        <f aca="false">IFERROR(H8/540,0)</f>
        <v>1.02146296296296</v>
      </c>
      <c r="I11" s="2" t="s">
        <v>228</v>
      </c>
    </row>
    <row r="12" customFormat="false" ht="15" hidden="false" customHeight="false" outlineLevel="0" collapsed="false">
      <c r="B12" s="18" t="s">
        <v>229</v>
      </c>
      <c r="C12" s="11" t="n">
        <v>372</v>
      </c>
      <c r="D12" s="11" t="n">
        <v>32</v>
      </c>
      <c r="E12" s="19" t="n">
        <f aca="false">IFERROR(C12/D12,0)</f>
        <v>11.625</v>
      </c>
    </row>
    <row r="13" customFormat="false" ht="15" hidden="false" customHeight="false" outlineLevel="0" collapsed="false">
      <c r="B13" s="18" t="s">
        <v>230</v>
      </c>
      <c r="C13" s="11" t="n">
        <v>348</v>
      </c>
      <c r="D13" s="11" t="n">
        <v>30</v>
      </c>
      <c r="E13" s="19" t="n">
        <f aca="false">IFERROR(C13/D13,0)</f>
        <v>11.6</v>
      </c>
      <c r="G13" s="3" t="s">
        <v>231</v>
      </c>
    </row>
    <row r="14" customFormat="false" ht="15" hidden="false" customHeight="false" outlineLevel="0" collapsed="false">
      <c r="B14" s="18" t="s">
        <v>232</v>
      </c>
      <c r="C14" s="11" t="n">
        <v>354</v>
      </c>
      <c r="D14" s="11" t="n">
        <v>29</v>
      </c>
      <c r="E14" s="19" t="n">
        <f aca="false">IFERROR(C14/D14,0)</f>
        <v>12.2068965517241</v>
      </c>
      <c r="G14" s="4" t="s">
        <v>233</v>
      </c>
      <c r="H14" s="13" t="n">
        <v>4.14</v>
      </c>
      <c r="I14" s="2" t="s">
        <v>234</v>
      </c>
    </row>
    <row r="15" customFormat="false" ht="15" hidden="false" customHeight="false" outlineLevel="0" collapsed="false">
      <c r="B15" s="18" t="s">
        <v>235</v>
      </c>
      <c r="C15" s="11" t="n">
        <v>394</v>
      </c>
      <c r="D15" s="11" t="n">
        <v>32</v>
      </c>
      <c r="E15" s="19" t="n">
        <f aca="false">IFERROR(C15/D15,0)</f>
        <v>12.3125</v>
      </c>
      <c r="G15" s="4" t="s">
        <v>236</v>
      </c>
      <c r="H15" s="13" t="n">
        <v>19.12</v>
      </c>
      <c r="I15" s="2" t="s">
        <v>234</v>
      </c>
    </row>
    <row r="16" customFormat="false" ht="15" hidden="false" customHeight="false" outlineLevel="0" collapsed="false">
      <c r="B16" s="18" t="s">
        <v>237</v>
      </c>
      <c r="C16" s="11" t="n">
        <v>457</v>
      </c>
      <c r="D16" s="11" t="n">
        <v>30</v>
      </c>
      <c r="E16" s="19" t="n">
        <f aca="false">IFERROR(C16/D16,0)</f>
        <v>15.2333333333333</v>
      </c>
      <c r="G16" s="4" t="s">
        <v>238</v>
      </c>
      <c r="H16" s="13" t="n">
        <v>99.28</v>
      </c>
      <c r="I16" s="2" t="s">
        <v>239</v>
      </c>
    </row>
    <row r="17" customFormat="false" ht="15" hidden="false" customHeight="false" outlineLevel="0" collapsed="false">
      <c r="B17" s="18" t="s">
        <v>240</v>
      </c>
      <c r="C17" s="11" t="n">
        <v>422</v>
      </c>
      <c r="D17" s="11" t="n">
        <v>29</v>
      </c>
      <c r="E17" s="19" t="n">
        <f aca="false">IFERROR(C17/D17,0)</f>
        <v>14.551724137931</v>
      </c>
      <c r="G17" s="21" t="s">
        <v>241</v>
      </c>
      <c r="H17" s="22" t="n">
        <v>122.54</v>
      </c>
      <c r="I17" s="2" t="s">
        <v>242</v>
      </c>
    </row>
    <row r="18" customFormat="false" ht="15" hidden="false" customHeight="false" outlineLevel="0" collapsed="false">
      <c r="B18" s="18" t="s">
        <v>243</v>
      </c>
      <c r="C18" s="24" t="n">
        <v>540</v>
      </c>
      <c r="D18" s="11" t="n">
        <v>33</v>
      </c>
      <c r="E18" s="19" t="n">
        <f aca="false">IFERROR(C18/D18,0)</f>
        <v>16.3636363636364</v>
      </c>
    </row>
    <row r="19" customFormat="false" ht="15" hidden="false" customHeight="false" outlineLevel="0" collapsed="false">
      <c r="B19" s="2" t="s">
        <v>244</v>
      </c>
      <c r="G19" s="3" t="s">
        <v>245</v>
      </c>
    </row>
    <row r="20" customFormat="false" ht="15" hidden="false" customHeight="false" outlineLevel="0" collapsed="false">
      <c r="G20" s="4" t="s">
        <v>83</v>
      </c>
      <c r="H20" s="25" t="s">
        <v>246</v>
      </c>
    </row>
    <row r="21" customFormat="false" ht="15" hidden="false" customHeight="false" outlineLevel="0" collapsed="false">
      <c r="B21" s="7" t="s">
        <v>247</v>
      </c>
      <c r="C21" s="8"/>
      <c r="D21" s="8"/>
      <c r="E21" s="8"/>
      <c r="G21" s="4" t="s">
        <v>248</v>
      </c>
      <c r="H21" s="25" t="s">
        <v>249</v>
      </c>
    </row>
    <row r="22" customFormat="false" ht="15" hidden="false" customHeight="false" outlineLevel="0" collapsed="false">
      <c r="B22" s="21" t="s">
        <v>250</v>
      </c>
      <c r="C22" s="26" t="n">
        <f aca="false">SUM(C7:C18)</f>
        <v>4576</v>
      </c>
      <c r="D22" s="2" t="s">
        <v>251</v>
      </c>
      <c r="G22" s="4" t="s">
        <v>252</v>
      </c>
      <c r="H22" s="25" t="s">
        <v>253</v>
      </c>
    </row>
    <row r="23" customFormat="false" ht="15" hidden="false" customHeight="false" outlineLevel="0" collapsed="false">
      <c r="B23" s="4" t="s">
        <v>254</v>
      </c>
      <c r="C23" s="27" t="n">
        <f aca="false">C22/12</f>
        <v>381.333333333333</v>
      </c>
      <c r="D23" s="2" t="s">
        <v>108</v>
      </c>
      <c r="G23" s="4" t="s">
        <v>99</v>
      </c>
      <c r="H23" s="25" t="s">
        <v>255</v>
      </c>
    </row>
    <row r="24" customFormat="false" ht="15" hidden="false" customHeight="false" outlineLevel="0" collapsed="false">
      <c r="B24" s="4" t="s">
        <v>256</v>
      </c>
      <c r="C24" s="12" t="n">
        <f aca="false">SUM(D7:D18)</f>
        <v>366</v>
      </c>
      <c r="D24" s="2" t="s">
        <v>257</v>
      </c>
      <c r="G24" s="4" t="s">
        <v>258</v>
      </c>
      <c r="H24" s="28" t="s">
        <v>259</v>
      </c>
    </row>
    <row r="25" customFormat="false" ht="15" hidden="false" customHeight="false" outlineLevel="0" collapsed="false">
      <c r="B25" s="4" t="s">
        <v>260</v>
      </c>
      <c r="C25" s="29" t="n">
        <f aca="false">IFERROR(C22/C24,0)</f>
        <v>12.5027322404372</v>
      </c>
      <c r="D25" s="2" t="s">
        <v>261</v>
      </c>
      <c r="G25" s="4" t="s">
        <v>262</v>
      </c>
      <c r="H25" s="28" t="s">
        <v>263</v>
      </c>
    </row>
    <row r="26" customFormat="false" ht="15" hidden="false" customHeight="false" outlineLevel="0" collapsed="false">
      <c r="B26" s="4" t="s">
        <v>264</v>
      </c>
      <c r="C26" s="12" t="n">
        <f aca="false">MAX(C7:C18)</f>
        <v>540</v>
      </c>
      <c r="D26" s="2" t="s">
        <v>157</v>
      </c>
      <c r="G26" s="4" t="s">
        <v>265</v>
      </c>
      <c r="H26" s="25" t="s">
        <v>266</v>
      </c>
    </row>
    <row r="27" customFormat="false" ht="15" hidden="false" customHeight="false" outlineLevel="0" collapsed="false">
      <c r="B27" s="4" t="s">
        <v>267</v>
      </c>
      <c r="C27" s="12" t="n">
        <f aca="false">MIN(C7:C18)</f>
        <v>290</v>
      </c>
      <c r="D27" s="2" t="s">
        <v>157</v>
      </c>
      <c r="G27" s="4" t="s">
        <v>268</v>
      </c>
      <c r="H27" s="25" t="s">
        <v>269</v>
      </c>
    </row>
    <row r="28" customFormat="false" ht="15" hidden="false" customHeight="false" outlineLevel="0" collapsed="false">
      <c r="B28" s="4" t="s">
        <v>270</v>
      </c>
      <c r="C28" s="30" t="n">
        <f aca="false">IFERROR(C26/C27-1,0)</f>
        <v>0.862068965517241</v>
      </c>
      <c r="D28" s="2"/>
      <c r="G28" s="4" t="s">
        <v>271</v>
      </c>
      <c r="H28" s="25" t="s">
        <v>272</v>
      </c>
    </row>
    <row r="29" customFormat="false" ht="15" hidden="false" customHeight="false" outlineLevel="0" collapsed="false">
      <c r="B29" s="4" t="s">
        <v>273</v>
      </c>
      <c r="C29" s="12" t="n">
        <f aca="false">C18</f>
        <v>540</v>
      </c>
      <c r="D29" s="2" t="s">
        <v>157</v>
      </c>
      <c r="G29" s="4" t="s">
        <v>274</v>
      </c>
      <c r="H29" s="25" t="s">
        <v>275</v>
      </c>
    </row>
    <row r="30" customFormat="false" ht="15" hidden="false" customHeight="false" outlineLevel="0" collapsed="false">
      <c r="B30" s="4" t="s">
        <v>276</v>
      </c>
      <c r="C30" s="30" t="n">
        <f aca="false">IFERROR(C29/C23-1,0)</f>
        <v>0.416083916083916</v>
      </c>
      <c r="D30" s="2"/>
      <c r="G30" s="4" t="s">
        <v>277</v>
      </c>
      <c r="H30" s="25" t="s">
        <v>278</v>
      </c>
    </row>
    <row r="31" customFormat="false" ht="15" hidden="false" customHeight="false" outlineLevel="0" collapsed="false">
      <c r="B31" s="4" t="s">
        <v>279</v>
      </c>
      <c r="C31" s="29" t="n">
        <f aca="false">AVERAGE(C7:C12)</f>
        <v>343.5</v>
      </c>
      <c r="D31" s="2" t="s">
        <v>108</v>
      </c>
      <c r="G31" s="4" t="s">
        <v>280</v>
      </c>
      <c r="H31" s="25" t="s">
        <v>281</v>
      </c>
    </row>
    <row r="32" customFormat="false" ht="15" hidden="false" customHeight="false" outlineLevel="0" collapsed="false">
      <c r="B32" s="4" t="s">
        <v>282</v>
      </c>
      <c r="C32" s="29" t="n">
        <f aca="false">AVERAGE(C13:C18)</f>
        <v>419.166666666667</v>
      </c>
      <c r="D32" s="2" t="s">
        <v>108</v>
      </c>
      <c r="G32" s="4" t="s">
        <v>283</v>
      </c>
      <c r="H32" s="25" t="s">
        <v>284</v>
      </c>
    </row>
    <row r="33" customFormat="false" ht="15" hidden="false" customHeight="false" outlineLevel="0" collapsed="false">
      <c r="B33" s="4" t="s">
        <v>285</v>
      </c>
      <c r="C33" s="31" t="n">
        <f aca="false">IFERROR(C32/C31-1,0)</f>
        <v>0.220281416787967</v>
      </c>
      <c r="D33" s="2" t="s">
        <v>286</v>
      </c>
      <c r="G33" s="4" t="s">
        <v>287</v>
      </c>
      <c r="H33" s="25" t="s">
        <v>288</v>
      </c>
    </row>
    <row r="34" customFormat="false" ht="15" hidden="false" customHeight="false" outlineLevel="0" collapsed="false">
      <c r="B34" s="4" t="s">
        <v>289</v>
      </c>
      <c r="C34" s="31" t="n">
        <f aca="false">IFERROR(C18/C6-1,0)</f>
        <v>0.388174807197943</v>
      </c>
      <c r="D34" s="2" t="s">
        <v>290</v>
      </c>
    </row>
    <row r="36" customFormat="false" ht="15" hidden="false" customHeight="false" outlineLevel="0" collapsed="false">
      <c r="B36" s="7" t="s">
        <v>291</v>
      </c>
      <c r="C36" s="8"/>
      <c r="D36" s="8"/>
      <c r="E36" s="8"/>
    </row>
    <row r="37" customFormat="false" ht="15" hidden="false" customHeight="false" outlineLevel="0" collapsed="false">
      <c r="B37" s="17" t="s">
        <v>292</v>
      </c>
      <c r="C37" s="17" t="s">
        <v>206</v>
      </c>
      <c r="D37" s="17" t="s">
        <v>293</v>
      </c>
    </row>
    <row r="38" customFormat="false" ht="15" hidden="false" customHeight="false" outlineLevel="0" collapsed="false">
      <c r="B38" s="18" t="s">
        <v>294</v>
      </c>
      <c r="C38" s="32" t="n">
        <f aca="false">C12</f>
        <v>372</v>
      </c>
      <c r="D38" s="33" t="s">
        <v>229</v>
      </c>
    </row>
    <row r="39" customFormat="false" ht="15" hidden="false" customHeight="false" outlineLevel="0" collapsed="false">
      <c r="B39" s="18" t="s">
        <v>295</v>
      </c>
      <c r="C39" s="32" t="n">
        <f aca="false">C13</f>
        <v>348</v>
      </c>
      <c r="D39" s="33" t="s">
        <v>230</v>
      </c>
    </row>
    <row r="40" customFormat="false" ht="15" hidden="false" customHeight="false" outlineLevel="0" collapsed="false">
      <c r="B40" s="18" t="s">
        <v>296</v>
      </c>
      <c r="C40" s="32" t="n">
        <f aca="false">C14</f>
        <v>354</v>
      </c>
      <c r="D40" s="33" t="s">
        <v>232</v>
      </c>
    </row>
    <row r="41" customFormat="false" ht="15" hidden="false" customHeight="false" outlineLevel="0" collapsed="false">
      <c r="B41" s="18" t="s">
        <v>297</v>
      </c>
      <c r="C41" s="32" t="n">
        <f aca="false">C15</f>
        <v>394</v>
      </c>
      <c r="D41" s="33" t="s">
        <v>235</v>
      </c>
    </row>
    <row r="42" customFormat="false" ht="15" hidden="false" customHeight="false" outlineLevel="0" collapsed="false">
      <c r="B42" s="18" t="s">
        <v>298</v>
      </c>
      <c r="C42" s="32" t="n">
        <f aca="false">C16</f>
        <v>457</v>
      </c>
      <c r="D42" s="33" t="s">
        <v>237</v>
      </c>
    </row>
    <row r="43" customFormat="false" ht="15" hidden="false" customHeight="false" outlineLevel="0" collapsed="false">
      <c r="B43" s="18" t="s">
        <v>299</v>
      </c>
      <c r="C43" s="32" t="n">
        <f aca="false">C17</f>
        <v>422</v>
      </c>
      <c r="D43" s="33" t="s">
        <v>240</v>
      </c>
    </row>
    <row r="44" customFormat="false" ht="15" hidden="false" customHeight="false" outlineLevel="0" collapsed="false">
      <c r="B44" s="18" t="s">
        <v>300</v>
      </c>
      <c r="C44" s="32" t="n">
        <f aca="false">C18</f>
        <v>540</v>
      </c>
      <c r="D44" s="33" t="s">
        <v>243</v>
      </c>
    </row>
    <row r="45" customFormat="false" ht="15" hidden="false" customHeight="false" outlineLevel="0" collapsed="false">
      <c r="B45" s="18" t="s">
        <v>301</v>
      </c>
      <c r="C45" s="32" t="n">
        <f aca="false">C7</f>
        <v>364</v>
      </c>
      <c r="D45" s="33" t="s">
        <v>214</v>
      </c>
    </row>
    <row r="46" customFormat="false" ht="15" hidden="false" customHeight="false" outlineLevel="0" collapsed="false">
      <c r="B46" s="18" t="s">
        <v>302</v>
      </c>
      <c r="C46" s="32" t="n">
        <f aca="false">C8</f>
        <v>290</v>
      </c>
      <c r="D46" s="33" t="s">
        <v>217</v>
      </c>
    </row>
    <row r="47" customFormat="false" ht="15" hidden="false" customHeight="false" outlineLevel="0" collapsed="false">
      <c r="B47" s="18" t="s">
        <v>303</v>
      </c>
      <c r="C47" s="32" t="n">
        <f aca="false">C9</f>
        <v>375</v>
      </c>
      <c r="D47" s="33" t="s">
        <v>220</v>
      </c>
    </row>
    <row r="48" customFormat="false" ht="15" hidden="false" customHeight="false" outlineLevel="0" collapsed="false">
      <c r="B48" s="18" t="s">
        <v>304</v>
      </c>
      <c r="C48" s="32" t="n">
        <f aca="false">C10</f>
        <v>337</v>
      </c>
      <c r="D48" s="33" t="s">
        <v>223</v>
      </c>
    </row>
    <row r="49" customFormat="false" ht="15" hidden="false" customHeight="false" outlineLevel="0" collapsed="false">
      <c r="B49" s="18" t="s">
        <v>305</v>
      </c>
      <c r="C49" s="32" t="n">
        <f aca="false">C11</f>
        <v>323</v>
      </c>
      <c r="D49" s="33" t="s">
        <v>226</v>
      </c>
    </row>
    <row r="50" customFormat="false" ht="15" hidden="false" customHeight="false" outlineLevel="0" collapsed="false">
      <c r="B50" s="21" t="s">
        <v>306</v>
      </c>
      <c r="C50" s="34" t="n">
        <f aca="false">SUM(C38:C49)</f>
        <v>4576</v>
      </c>
    </row>
    <row r="52" customFormat="false" ht="15" hidden="false" customHeight="false" outlineLevel="0" collapsed="false">
      <c r="B52" s="7" t="s">
        <v>307</v>
      </c>
      <c r="C52" s="8"/>
      <c r="D52" s="8"/>
      <c r="E52" s="8"/>
    </row>
    <row r="53" customFormat="false" ht="15" hidden="false" customHeight="false" outlineLevel="0" collapsed="false">
      <c r="B53" s="21" t="s">
        <v>308</v>
      </c>
      <c r="C53" s="35" t="n">
        <f aca="false">C22*H11+H9*12</f>
        <v>4927.53451851852</v>
      </c>
    </row>
    <row r="54" customFormat="false" ht="15" hidden="false" customHeight="false" outlineLevel="0" collapsed="false">
      <c r="B54" s="21" t="s">
        <v>309</v>
      </c>
      <c r="C54" s="35" t="n">
        <f aca="false">C53/12</f>
        <v>410.62787654321</v>
      </c>
    </row>
    <row r="55" customFormat="false" ht="15" hidden="false" customHeight="false" outlineLevel="0" collapsed="false">
      <c r="B55" s="21" t="s">
        <v>310</v>
      </c>
      <c r="C55" s="35" t="n">
        <f aca="false">H10</f>
        <v>572.7</v>
      </c>
    </row>
    <row r="57" customFormat="false" ht="15" hidden="false" customHeight="false" outlineLevel="0" collapsed="false">
      <c r="B57" s="3" t="s">
        <v>311</v>
      </c>
    </row>
    <row r="58" customFormat="false" ht="15" hidden="false" customHeight="false" outlineLevel="0" collapsed="false">
      <c r="B58" s="4" t="s">
        <v>312</v>
      </c>
    </row>
    <row r="59" customFormat="false" ht="15" hidden="false" customHeight="false" outlineLevel="0" collapsed="false">
      <c r="B59" s="3" t="s">
        <v>313</v>
      </c>
    </row>
    <row r="60" customFormat="false" ht="15" hidden="false" customHeight="false" outlineLevel="0" collapsed="false">
      <c r="B60" s="4" t="s">
        <v>314</v>
      </c>
    </row>
    <row r="61" customFormat="false" ht="15" hidden="false" customHeight="false" outlineLevel="0" collapsed="false">
      <c r="B61" s="4" t="s">
        <v>315</v>
      </c>
    </row>
    <row r="62" customFormat="false" ht="15" hidden="false" customHeight="false" outlineLevel="0" collapsed="false">
      <c r="B62" s="4" t="s">
        <v>316</v>
      </c>
    </row>
    <row r="63" customFormat="false" ht="15" hidden="false" customHeight="false" outlineLevel="0" collapsed="false">
      <c r="B63" s="5" t="s">
        <v>317</v>
      </c>
    </row>
    <row r="64" customFormat="false" ht="15" hidden="false" customHeight="false" outlineLevel="0" collapsed="false">
      <c r="B64" s="4" t="s">
        <v>318</v>
      </c>
    </row>
    <row r="65" customFormat="false" ht="15" hidden="false" customHeight="false" outlineLevel="0" collapsed="false">
      <c r="B65" s="4" t="s">
        <v>319</v>
      </c>
    </row>
    <row r="66" customFormat="false" ht="15" hidden="false" customHeight="false" outlineLevel="0" collapsed="false">
      <c r="B66" s="5" t="s">
        <v>320</v>
      </c>
    </row>
    <row r="67" customFormat="false" ht="15" hidden="false" customHeight="false" outlineLevel="0" collapsed="false">
      <c r="B67" s="4" t="s">
        <v>321</v>
      </c>
    </row>
    <row r="68" customFormat="false" ht="15" hidden="false" customHeight="false" outlineLevel="0" collapsed="false">
      <c r="B68" s="4" t="s">
        <v>322</v>
      </c>
    </row>
    <row r="69" customFormat="false" ht="15" hidden="false" customHeight="false" outlineLevel="0" collapsed="false">
      <c r="B69" s="4" t="s">
        <v>323</v>
      </c>
    </row>
    <row r="70" customFormat="false" ht="15" hidden="false" customHeight="false" outlineLevel="0" collapsed="false">
      <c r="B70" s="4" t="s">
        <v>324</v>
      </c>
    </row>
    <row r="71" customFormat="false" ht="15" hidden="false" customHeight="false" outlineLevel="0" collapsed="false">
      <c r="B71" s="4" t="s">
        <v>325</v>
      </c>
    </row>
    <row r="72" customFormat="false" ht="15" hidden="false" customHeight="false" outlineLevel="0" collapsed="false">
      <c r="B72" s="4" t="s">
        <v>326</v>
      </c>
    </row>
    <row r="76" customFormat="false" ht="15" hidden="false" customHeight="false" outlineLevel="0" collapsed="false">
      <c r="B76" s="7" t="s">
        <v>327</v>
      </c>
      <c r="C76" s="8"/>
      <c r="D76" s="8"/>
      <c r="E76" s="8"/>
    </row>
    <row r="77" customFormat="false" ht="15" hidden="false" customHeight="false" outlineLevel="0" collapsed="false">
      <c r="B77" s="4" t="s">
        <v>328</v>
      </c>
      <c r="C77" s="29" t="n">
        <f aca="false">AVERAGE(E6:E15)</f>
        <v>11.5732596403411</v>
      </c>
      <c r="D77" s="2" t="s">
        <v>261</v>
      </c>
      <c r="E77" s="2" t="s">
        <v>329</v>
      </c>
    </row>
    <row r="78" customFormat="false" ht="15" hidden="false" customHeight="false" outlineLevel="0" collapsed="false">
      <c r="B78" s="4" t="s">
        <v>330</v>
      </c>
      <c r="C78" s="29" t="n">
        <f aca="false">AVERAGE(E16:E18)</f>
        <v>15.3828979449669</v>
      </c>
      <c r="D78" s="2" t="s">
        <v>261</v>
      </c>
      <c r="E78" s="2" t="s">
        <v>331</v>
      </c>
    </row>
    <row r="79" customFormat="false" ht="15" hidden="false" customHeight="false" outlineLevel="0" collapsed="false">
      <c r="B79" s="21" t="s">
        <v>332</v>
      </c>
      <c r="C79" s="36" t="n">
        <f aca="false">C78-C77</f>
        <v>3.80963830462579</v>
      </c>
      <c r="D79" s="2" t="s">
        <v>261</v>
      </c>
      <c r="E79" s="2" t="s">
        <v>333</v>
      </c>
    </row>
    <row r="80" customFormat="false" ht="15" hidden="false" customHeight="false" outlineLevel="0" collapsed="false">
      <c r="B80" s="21" t="s">
        <v>334</v>
      </c>
      <c r="C80" s="37" t="n">
        <f aca="false">C79*30.4</f>
        <v>115.813004460624</v>
      </c>
      <c r="D80" s="2" t="s">
        <v>108</v>
      </c>
      <c r="E80" s="2" t="s">
        <v>335</v>
      </c>
    </row>
    <row r="81" customFormat="false" ht="15" hidden="false" customHeight="false" outlineLevel="0" collapsed="false">
      <c r="B81" s="4" t="s">
        <v>336</v>
      </c>
      <c r="C81" s="30" t="n">
        <f aca="false">IFERROR(C78/C77-1,0)</f>
        <v>0.329175912665647</v>
      </c>
      <c r="D81" s="2"/>
      <c r="E81" s="2"/>
    </row>
    <row r="82" customFormat="false" ht="15" hidden="false" customHeight="false" outlineLevel="0" collapsed="false">
      <c r="B82" s="4" t="s">
        <v>337</v>
      </c>
      <c r="C82" s="29" t="n">
        <f aca="false">E6</f>
        <v>12.15625</v>
      </c>
      <c r="D82" s="2" t="s">
        <v>261</v>
      </c>
      <c r="E82" s="2" t="s">
        <v>338</v>
      </c>
    </row>
    <row r="83" customFormat="false" ht="15" hidden="false" customHeight="false" outlineLevel="0" collapsed="false">
      <c r="B83" s="4" t="s">
        <v>339</v>
      </c>
      <c r="C83" s="29" t="n">
        <f aca="false">E18</f>
        <v>16.3636363636364</v>
      </c>
      <c r="D83" s="2" t="s">
        <v>261</v>
      </c>
      <c r="E83" s="2" t="s">
        <v>340</v>
      </c>
    </row>
    <row r="84" customFormat="false" ht="15" hidden="false" customHeight="false" outlineLevel="0" collapsed="false">
      <c r="B84" s="4" t="s">
        <v>341</v>
      </c>
      <c r="C84" s="29" t="n">
        <f aca="false">C83-C82</f>
        <v>4.20738636363636</v>
      </c>
      <c r="D84" s="2" t="s">
        <v>261</v>
      </c>
      <c r="E84" s="2" t="s">
        <v>342</v>
      </c>
    </row>
    <row r="85" customFormat="false" ht="15" hidden="false" customHeight="false" outlineLevel="0" collapsed="false">
      <c r="B85" s="4" t="s">
        <v>343</v>
      </c>
      <c r="C85" s="12" t="n">
        <f aca="false">C84*30.4</f>
        <v>127.904545454545</v>
      </c>
      <c r="D85" s="2" t="s">
        <v>108</v>
      </c>
      <c r="E85" s="2" t="s">
        <v>344</v>
      </c>
    </row>
    <row r="86" customFormat="false" ht="15" hidden="false" customHeight="false" outlineLevel="0" collapsed="false">
      <c r="B86" s="4" t="s">
        <v>345</v>
      </c>
      <c r="C86" s="29" t="n">
        <f aca="false">ENTRADAS!C42/100/ENTRADAS!C45</f>
        <v>0.186046511627907</v>
      </c>
      <c r="D86" s="2" t="s">
        <v>346</v>
      </c>
      <c r="E86" s="2" t="s">
        <v>347</v>
      </c>
    </row>
    <row r="87" customFormat="false" ht="15" hidden="false" customHeight="false" outlineLevel="0" collapsed="false">
      <c r="B87" s="21" t="s">
        <v>348</v>
      </c>
      <c r="C87" s="38" t="n">
        <f aca="false">IFERROR(C80/C86,0)</f>
        <v>622.494898975854</v>
      </c>
      <c r="D87" s="2" t="s">
        <v>349</v>
      </c>
      <c r="E87" s="2" t="s">
        <v>350</v>
      </c>
    </row>
    <row r="88" customFormat="false" ht="15" hidden="false" customHeight="false" outlineLevel="0" collapsed="false">
      <c r="B88" s="4" t="s">
        <v>351</v>
      </c>
      <c r="C88" s="12" t="n">
        <f aca="false">IFERROR(C87/30.4,0)</f>
        <v>20.4768058873636</v>
      </c>
      <c r="D88" s="2" t="s">
        <v>163</v>
      </c>
      <c r="E88" s="2"/>
    </row>
    <row r="89" customFormat="false" ht="15" hidden="false" customHeight="false" outlineLevel="0" collapsed="false">
      <c r="B89" s="4" t="s">
        <v>352</v>
      </c>
      <c r="C89" s="12" t="n">
        <f aca="false">IFERROR(C85/C86,0)</f>
        <v>687.486931818182</v>
      </c>
      <c r="D89" s="2" t="s">
        <v>349</v>
      </c>
      <c r="E89" s="2" t="s">
        <v>353</v>
      </c>
    </row>
    <row r="91" customFormat="false" ht="15" hidden="false" customHeight="false" outlineLevel="0" collapsed="false">
      <c r="B91" s="3" t="s">
        <v>354</v>
      </c>
    </row>
    <row r="92" customFormat="false" ht="15" hidden="false" customHeight="false" outlineLevel="0" collapsed="false">
      <c r="B92" s="2" t="s">
        <v>355</v>
      </c>
    </row>
    <row r="93" customFormat="false" ht="15" hidden="false" customHeight="false" outlineLevel="0" collapsed="false">
      <c r="B93" s="2" t="s">
        <v>356</v>
      </c>
    </row>
    <row r="94" customFormat="false" ht="15" hidden="false" customHeight="false" outlineLevel="0" collapsed="false">
      <c r="B94" s="2" t="s">
        <v>357</v>
      </c>
    </row>
    <row r="95" customFormat="false" ht="15" hidden="false" customHeight="false" outlineLevel="0" collapsed="false">
      <c r="B95" s="2" t="s">
        <v>358</v>
      </c>
    </row>
    <row r="96" customFormat="false" ht="15" hidden="false" customHeight="false" outlineLevel="0" collapsed="false">
      <c r="B96" s="2"/>
    </row>
    <row r="97" customFormat="false" ht="15" hidden="false" customHeight="false" outlineLevel="0" collapsed="false">
      <c r="B97" s="2" t="s">
        <v>359</v>
      </c>
    </row>
    <row r="98" customFormat="false" ht="15" hidden="false" customHeight="false" outlineLevel="0" collapsed="false">
      <c r="B98" s="2" t="s">
        <v>360</v>
      </c>
    </row>
    <row r="99" customFormat="false" ht="15" hidden="false" customHeight="false" outlineLevel="0" collapsed="false">
      <c r="B99" s="2"/>
    </row>
    <row r="100" customFormat="false" ht="15" hidden="false" customHeight="false" outlineLevel="0" collapsed="false">
      <c r="B100" s="5" t="s">
        <v>361</v>
      </c>
    </row>
    <row r="101" customFormat="false" ht="15" hidden="false" customHeight="false" outlineLevel="0" collapsed="false">
      <c r="B101" s="2" t="s">
        <v>362</v>
      </c>
    </row>
    <row r="102" customFormat="false" ht="15" hidden="false" customHeight="false" outlineLevel="0" collapsed="false">
      <c r="B102" s="2" t="s">
        <v>363</v>
      </c>
    </row>
    <row r="103" customFormat="false" ht="15" hidden="false" customHeight="false" outlineLevel="0" collapsed="false">
      <c r="B103" s="2" t="s">
        <v>364</v>
      </c>
    </row>
    <row r="104" customFormat="false" ht="15" hidden="false" customHeight="false" outlineLevel="0" collapsed="false">
      <c r="B104" s="2"/>
    </row>
    <row r="105" customFormat="false" ht="15" hidden="false" customHeight="false" outlineLevel="0" collapsed="false">
      <c r="B105" s="5" t="s">
        <v>365</v>
      </c>
    </row>
    <row r="106" customFormat="false" ht="15" hidden="false" customHeight="false" outlineLevel="0" collapsed="false">
      <c r="B106" s="2" t="s">
        <v>366</v>
      </c>
    </row>
    <row r="107" customFormat="false" ht="15" hidden="false" customHeight="false" outlineLevel="0" collapsed="false">
      <c r="B107" s="2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8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9" style="0" width="14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368</v>
      </c>
    </row>
    <row r="2" customFormat="false" ht="15" hidden="false" customHeight="false" outlineLevel="0" collapsed="false">
      <c r="A2" s="2" t="s">
        <v>369</v>
      </c>
    </row>
    <row r="4" customFormat="false" ht="42" hidden="false" customHeight="true" outlineLevel="0" collapsed="false">
      <c r="B4" s="17" t="s">
        <v>292</v>
      </c>
      <c r="C4" s="17" t="s">
        <v>207</v>
      </c>
      <c r="D4" s="17" t="s">
        <v>370</v>
      </c>
      <c r="E4" s="17" t="s">
        <v>371</v>
      </c>
      <c r="F4" s="17" t="s">
        <v>372</v>
      </c>
      <c r="G4" s="17" t="s">
        <v>373</v>
      </c>
      <c r="H4" s="17" t="s">
        <v>374</v>
      </c>
      <c r="I4" s="17" t="s">
        <v>375</v>
      </c>
      <c r="J4" s="17" t="s">
        <v>376</v>
      </c>
      <c r="K4" s="17" t="s">
        <v>377</v>
      </c>
    </row>
    <row r="5" customFormat="false" ht="15" hidden="false" customHeight="false" outlineLevel="0" collapsed="false">
      <c r="B5" s="18" t="s">
        <v>294</v>
      </c>
      <c r="C5" s="18" t="n">
        <v>31</v>
      </c>
      <c r="D5" s="16" t="n">
        <v>5.3</v>
      </c>
      <c r="E5" s="16" t="n">
        <v>0.97</v>
      </c>
      <c r="F5" s="19" t="n">
        <f aca="false">D5*E5</f>
        <v>5.141</v>
      </c>
      <c r="G5" s="16" t="n">
        <v>1.02</v>
      </c>
      <c r="H5" s="19" t="n">
        <f aca="false">D5*G5</f>
        <v>5.406</v>
      </c>
      <c r="I5" s="39" t="n">
        <f aca="false">F5*C5*ENTRADAS!$C$31</f>
        <v>125.90309</v>
      </c>
      <c r="J5" s="39" t="n">
        <f aca="false">H5*C5*ENTRADAS!$C$31</f>
        <v>132.39294</v>
      </c>
      <c r="K5" s="40" t="n">
        <f aca="false">IFERROR(I5/J5-1,0)</f>
        <v>-0.0490196078431371</v>
      </c>
    </row>
    <row r="6" customFormat="false" ht="15" hidden="false" customHeight="false" outlineLevel="0" collapsed="false">
      <c r="B6" s="18" t="s">
        <v>295</v>
      </c>
      <c r="C6" s="18" t="n">
        <v>28</v>
      </c>
      <c r="D6" s="16" t="n">
        <v>5.4</v>
      </c>
      <c r="E6" s="16" t="n">
        <v>0.96</v>
      </c>
      <c r="F6" s="19" t="n">
        <f aca="false">D6*E6</f>
        <v>5.184</v>
      </c>
      <c r="G6" s="16" t="n">
        <v>1.04</v>
      </c>
      <c r="H6" s="19" t="n">
        <f aca="false">D6*G6</f>
        <v>5.616</v>
      </c>
      <c r="I6" s="39" t="n">
        <f aca="false">F6*C6*ENTRADAS!$C$31</f>
        <v>114.67008</v>
      </c>
      <c r="J6" s="39" t="n">
        <f aca="false">H6*C6*ENTRADAS!$C$31</f>
        <v>124.22592</v>
      </c>
      <c r="K6" s="40" t="n">
        <f aca="false">IFERROR(I6/J6-1,0)</f>
        <v>-0.076923076923077</v>
      </c>
    </row>
    <row r="7" customFormat="false" ht="15" hidden="false" customHeight="false" outlineLevel="0" collapsed="false">
      <c r="B7" s="18" t="s">
        <v>296</v>
      </c>
      <c r="C7" s="18" t="n">
        <v>31</v>
      </c>
      <c r="D7" s="16" t="n">
        <v>4.9</v>
      </c>
      <c r="E7" s="16" t="n">
        <v>0.95</v>
      </c>
      <c r="F7" s="19" t="n">
        <f aca="false">D7*E7</f>
        <v>4.655</v>
      </c>
      <c r="G7" s="16" t="n">
        <v>1.07</v>
      </c>
      <c r="H7" s="19" t="n">
        <f aca="false">D7*G7</f>
        <v>5.243</v>
      </c>
      <c r="I7" s="39" t="n">
        <f aca="false">F7*C7*ENTRADAS!$C$31</f>
        <v>114.00095</v>
      </c>
      <c r="J7" s="39" t="n">
        <f aca="false">H7*C7*ENTRADAS!$C$31</f>
        <v>128.40107</v>
      </c>
      <c r="K7" s="40" t="n">
        <f aca="false">IFERROR(I7/J7-1,0)</f>
        <v>-0.11214953271028</v>
      </c>
    </row>
    <row r="8" customFormat="false" ht="15" hidden="false" customHeight="false" outlineLevel="0" collapsed="false">
      <c r="B8" s="18" t="s">
        <v>297</v>
      </c>
      <c r="C8" s="18" t="n">
        <v>30</v>
      </c>
      <c r="D8" s="16" t="n">
        <v>4.4</v>
      </c>
      <c r="E8" s="16" t="n">
        <v>0.94</v>
      </c>
      <c r="F8" s="19" t="n">
        <f aca="false">D8*E8</f>
        <v>4.136</v>
      </c>
      <c r="G8" s="16" t="n">
        <v>1.11</v>
      </c>
      <c r="H8" s="19" t="n">
        <f aca="false">D8*G8</f>
        <v>4.884</v>
      </c>
      <c r="I8" s="39" t="n">
        <f aca="false">F8*C8*ENTRADAS!$C$31</f>
        <v>98.0232</v>
      </c>
      <c r="J8" s="39" t="n">
        <f aca="false">H8*C8*ENTRADAS!$C$31</f>
        <v>115.7508</v>
      </c>
      <c r="K8" s="40" t="n">
        <f aca="false">IFERROR(I8/J8-1,0)</f>
        <v>-0.153153153153153</v>
      </c>
    </row>
    <row r="9" customFormat="false" ht="15" hidden="false" customHeight="false" outlineLevel="0" collapsed="false">
      <c r="B9" s="18" t="s">
        <v>298</v>
      </c>
      <c r="C9" s="18" t="n">
        <v>31</v>
      </c>
      <c r="D9" s="16" t="n">
        <v>3.7</v>
      </c>
      <c r="E9" s="16" t="n">
        <v>0.92</v>
      </c>
      <c r="F9" s="19" t="n">
        <f aca="false">D9*E9</f>
        <v>3.404</v>
      </c>
      <c r="G9" s="16" t="n">
        <v>1.14</v>
      </c>
      <c r="H9" s="19" t="n">
        <f aca="false">D9*G9</f>
        <v>4.218</v>
      </c>
      <c r="I9" s="39" t="n">
        <f aca="false">F9*C9*ENTRADAS!$C$31</f>
        <v>83.36396</v>
      </c>
      <c r="J9" s="39" t="n">
        <f aca="false">H9*C9*ENTRADAS!$C$31</f>
        <v>103.29882</v>
      </c>
      <c r="K9" s="40" t="n">
        <f aca="false">IFERROR(I9/J9-1,0)</f>
        <v>-0.192982456140351</v>
      </c>
    </row>
    <row r="10" customFormat="false" ht="15" hidden="false" customHeight="false" outlineLevel="0" collapsed="false">
      <c r="B10" s="18" t="s">
        <v>299</v>
      </c>
      <c r="C10" s="18" t="n">
        <v>30</v>
      </c>
      <c r="D10" s="16" t="n">
        <v>3.5</v>
      </c>
      <c r="E10" s="16" t="n">
        <v>0.91</v>
      </c>
      <c r="F10" s="19" t="n">
        <f aca="false">D10*E10</f>
        <v>3.185</v>
      </c>
      <c r="G10" s="16" t="n">
        <v>1.16</v>
      </c>
      <c r="H10" s="19" t="n">
        <f aca="false">D10*G10</f>
        <v>4.06</v>
      </c>
      <c r="I10" s="39" t="n">
        <f aca="false">F10*C10*ENTRADAS!$C$31</f>
        <v>75.4845</v>
      </c>
      <c r="J10" s="39" t="n">
        <f aca="false">H10*C10*ENTRADAS!$C$31</f>
        <v>96.222</v>
      </c>
      <c r="K10" s="40" t="n">
        <f aca="false">IFERROR(I10/J10-1,0)</f>
        <v>-0.21551724137931</v>
      </c>
    </row>
    <row r="11" customFormat="false" ht="15" hidden="false" customHeight="false" outlineLevel="0" collapsed="false">
      <c r="B11" s="18" t="s">
        <v>300</v>
      </c>
      <c r="C11" s="18" t="n">
        <v>31</v>
      </c>
      <c r="D11" s="16" t="n">
        <v>3.65</v>
      </c>
      <c r="E11" s="16" t="n">
        <v>0.91</v>
      </c>
      <c r="F11" s="19" t="n">
        <f aca="false">D11*E11</f>
        <v>3.3215</v>
      </c>
      <c r="G11" s="16" t="n">
        <v>1.15</v>
      </c>
      <c r="H11" s="19" t="n">
        <f aca="false">D11*G11</f>
        <v>4.1975</v>
      </c>
      <c r="I11" s="39" t="n">
        <f aca="false">F11*C11*ENTRADAS!$C$31</f>
        <v>81.343535</v>
      </c>
      <c r="J11" s="39" t="n">
        <f aca="false">H11*C11*ENTRADAS!$C$31</f>
        <v>102.796775</v>
      </c>
      <c r="K11" s="40" t="n">
        <f aca="false">IFERROR(I11/J11-1,0)</f>
        <v>-0.208695652173913</v>
      </c>
    </row>
    <row r="12" customFormat="false" ht="15" hidden="false" customHeight="false" outlineLevel="0" collapsed="false">
      <c r="B12" s="18" t="s">
        <v>301</v>
      </c>
      <c r="C12" s="18" t="n">
        <v>31</v>
      </c>
      <c r="D12" s="16" t="n">
        <v>4.55</v>
      </c>
      <c r="E12" s="16" t="n">
        <v>0.93</v>
      </c>
      <c r="F12" s="19" t="n">
        <f aca="false">D12*E12</f>
        <v>4.2315</v>
      </c>
      <c r="G12" s="16" t="n">
        <v>1.11</v>
      </c>
      <c r="H12" s="19" t="n">
        <f aca="false">D12*G12</f>
        <v>5.0505</v>
      </c>
      <c r="I12" s="39" t="n">
        <f aca="false">F12*C12*ENTRADAS!$C$31</f>
        <v>103.629435</v>
      </c>
      <c r="J12" s="39" t="n">
        <f aca="false">H12*C12*ENTRADAS!$C$31</f>
        <v>123.686745</v>
      </c>
      <c r="K12" s="40" t="n">
        <f aca="false">IFERROR(I12/J12-1,0)</f>
        <v>-0.162162162162162</v>
      </c>
    </row>
    <row r="13" customFormat="false" ht="15" hidden="false" customHeight="false" outlineLevel="0" collapsed="false">
      <c r="B13" s="18" t="s">
        <v>302</v>
      </c>
      <c r="C13" s="18" t="n">
        <v>30</v>
      </c>
      <c r="D13" s="16" t="n">
        <v>4.45</v>
      </c>
      <c r="E13" s="16" t="n">
        <v>0.95</v>
      </c>
      <c r="F13" s="19" t="n">
        <f aca="false">D13*E13</f>
        <v>4.2275</v>
      </c>
      <c r="G13" s="16" t="n">
        <v>1.06</v>
      </c>
      <c r="H13" s="19" t="n">
        <f aca="false">D13*G13</f>
        <v>4.717</v>
      </c>
      <c r="I13" s="39" t="n">
        <f aca="false">F13*C13*ENTRADAS!$C$31</f>
        <v>100.19175</v>
      </c>
      <c r="J13" s="39" t="n">
        <f aca="false">H13*C13*ENTRADAS!$C$31</f>
        <v>111.7929</v>
      </c>
      <c r="K13" s="40" t="n">
        <f aca="false">IFERROR(I13/J13-1,0)</f>
        <v>-0.10377358490566</v>
      </c>
    </row>
    <row r="14" customFormat="false" ht="15" hidden="false" customHeight="false" outlineLevel="0" collapsed="false">
      <c r="B14" s="18" t="s">
        <v>303</v>
      </c>
      <c r="C14" s="18" t="n">
        <v>31</v>
      </c>
      <c r="D14" s="16" t="n">
        <v>4.9</v>
      </c>
      <c r="E14" s="16" t="n">
        <v>0.96</v>
      </c>
      <c r="F14" s="19" t="n">
        <f aca="false">D14*E14</f>
        <v>4.704</v>
      </c>
      <c r="G14" s="16" t="n">
        <v>1.02</v>
      </c>
      <c r="H14" s="19" t="n">
        <f aca="false">D14*G14</f>
        <v>4.998</v>
      </c>
      <c r="I14" s="39" t="n">
        <f aca="false">F14*C14*ENTRADAS!$C$31</f>
        <v>115.20096</v>
      </c>
      <c r="J14" s="39" t="n">
        <f aca="false">H14*C14*ENTRADAS!$C$31</f>
        <v>122.40102</v>
      </c>
      <c r="K14" s="40" t="n">
        <f aca="false">IFERROR(I14/J14-1,0)</f>
        <v>-0.0588235294117648</v>
      </c>
    </row>
    <row r="15" customFormat="false" ht="15" hidden="false" customHeight="false" outlineLevel="0" collapsed="false">
      <c r="B15" s="18" t="s">
        <v>304</v>
      </c>
      <c r="C15" s="18" t="n">
        <v>30</v>
      </c>
      <c r="D15" s="16" t="n">
        <v>5.35</v>
      </c>
      <c r="E15" s="16" t="n">
        <v>0.97</v>
      </c>
      <c r="F15" s="19" t="n">
        <f aca="false">D15*E15</f>
        <v>5.1895</v>
      </c>
      <c r="G15" s="16" t="n">
        <v>1</v>
      </c>
      <c r="H15" s="19" t="n">
        <f aca="false">D15*G15</f>
        <v>5.35</v>
      </c>
      <c r="I15" s="39" t="n">
        <f aca="false">F15*C15*ENTRADAS!$C$31</f>
        <v>122.99115</v>
      </c>
      <c r="J15" s="39" t="n">
        <f aca="false">H15*C15*ENTRADAS!$C$31</f>
        <v>126.795</v>
      </c>
      <c r="K15" s="40" t="n">
        <f aca="false">IFERROR(I15/J15-1,0)</f>
        <v>-0.03</v>
      </c>
    </row>
    <row r="16" customFormat="false" ht="15" hidden="false" customHeight="false" outlineLevel="0" collapsed="false">
      <c r="B16" s="18" t="s">
        <v>305</v>
      </c>
      <c r="C16" s="18" t="n">
        <v>31</v>
      </c>
      <c r="D16" s="16" t="n">
        <v>5.45</v>
      </c>
      <c r="E16" s="16" t="n">
        <v>0.97</v>
      </c>
      <c r="F16" s="19" t="n">
        <f aca="false">D16*E16</f>
        <v>5.2865</v>
      </c>
      <c r="G16" s="16" t="n">
        <v>1</v>
      </c>
      <c r="H16" s="19" t="n">
        <f aca="false">D16*G16</f>
        <v>5.45</v>
      </c>
      <c r="I16" s="39" t="n">
        <f aca="false">F16*C16*ENTRADAS!$C$31</f>
        <v>129.466385</v>
      </c>
      <c r="J16" s="39" t="n">
        <f aca="false">H16*C16*ENTRADAS!$C$31</f>
        <v>133.4705</v>
      </c>
      <c r="K16" s="40" t="n">
        <f aca="false">IFERROR(I16/J16-1,0)</f>
        <v>-0.0299999999999999</v>
      </c>
    </row>
    <row r="17" customFormat="false" ht="15" hidden="false" customHeight="false" outlineLevel="0" collapsed="false">
      <c r="B17" s="41" t="s">
        <v>378</v>
      </c>
      <c r="C17" s="42" t="n">
        <f aca="false">SUM(C5:C16)</f>
        <v>365</v>
      </c>
      <c r="D17" s="43" t="n">
        <f aca="false">AVERAGE(D5:D16)</f>
        <v>4.62916666666667</v>
      </c>
      <c r="E17" s="44"/>
      <c r="F17" s="43" t="n">
        <f aca="false">AVERAGE(F5:F16)</f>
        <v>4.38879166666667</v>
      </c>
      <c r="G17" s="44"/>
      <c r="H17" s="43" t="n">
        <f aca="false">AVERAGE(H5:H16)</f>
        <v>4.9325</v>
      </c>
      <c r="I17" s="42" t="n">
        <f aca="false">SUM(I5:I16)</f>
        <v>1264.268995</v>
      </c>
      <c r="J17" s="42" t="n">
        <f aca="false">SUM(J5:J16)</f>
        <v>1421.23449</v>
      </c>
      <c r="K17" s="45" t="n">
        <f aca="false">IFERROR(I17/J17-1,0)</f>
        <v>-0.110443066295133</v>
      </c>
    </row>
    <row r="18" customFormat="false" ht="15" hidden="false" customHeight="false" outlineLevel="0" collapsed="false">
      <c r="B18" s="21" t="s">
        <v>379</v>
      </c>
      <c r="I18" s="26" t="n">
        <f aca="false">I17/12</f>
        <v>105.355749583333</v>
      </c>
      <c r="J18" s="26" t="n">
        <f aca="false">J17/12</f>
        <v>118.4362075</v>
      </c>
    </row>
    <row r="20" customFormat="false" ht="15" hidden="false" customHeight="false" outlineLevel="0" collapsed="false">
      <c r="B20" s="2" t="s">
        <v>380</v>
      </c>
    </row>
    <row r="21" customFormat="false" ht="15" hidden="false" customHeight="false" outlineLevel="0" collapsed="false">
      <c r="B21" s="2" t="s">
        <v>381</v>
      </c>
    </row>
    <row r="22" customFormat="false" ht="15" hidden="false" customHeight="false" outlineLevel="0" collapsed="false">
      <c r="B22" s="2"/>
    </row>
    <row r="23" customFormat="false" ht="15" hidden="false" customHeight="false" outlineLevel="0" collapsed="false">
      <c r="B23" s="3" t="s">
        <v>382</v>
      </c>
    </row>
    <row r="24" customFormat="false" ht="15" hidden="false" customHeight="false" outlineLevel="0" collapsed="false">
      <c r="B24" s="2" t="s">
        <v>383</v>
      </c>
    </row>
    <row r="25" customFormat="false" ht="15" hidden="false" customHeight="false" outlineLevel="0" collapsed="false">
      <c r="B25" s="2" t="s">
        <v>384</v>
      </c>
    </row>
    <row r="26" customFormat="false" ht="15" hidden="false" customHeight="false" outlineLevel="0" collapsed="false">
      <c r="B26" s="2" t="s">
        <v>385</v>
      </c>
    </row>
    <row r="27" customFormat="false" ht="15" hidden="false" customHeight="false" outlineLevel="0" collapsed="false">
      <c r="B27" s="2" t="s">
        <v>386</v>
      </c>
    </row>
    <row r="28" customFormat="false" ht="15" hidden="false" customHeight="false" outlineLevel="0" collapsed="false">
      <c r="B28" s="2" t="s">
        <v>387</v>
      </c>
    </row>
    <row r="29" customFormat="false" ht="15" hidden="false" customHeight="false" outlineLevel="0" collapsed="false">
      <c r="B29" s="2" t="s">
        <v>388</v>
      </c>
    </row>
    <row r="30" customFormat="false" ht="15" hidden="false" customHeight="false" outlineLevel="0" collapsed="false">
      <c r="B30" s="2"/>
    </row>
    <row r="31" customFormat="false" ht="15" hidden="false" customHeight="false" outlineLevel="0" collapsed="false">
      <c r="B31" s="2" t="s">
        <v>389</v>
      </c>
    </row>
    <row r="32" customFormat="false" ht="15" hidden="false" customHeight="false" outlineLevel="0" collapsed="false">
      <c r="B32" s="2" t="s">
        <v>390</v>
      </c>
    </row>
    <row r="33" customFormat="false" ht="15" hidden="false" customHeight="false" outlineLevel="0" collapsed="false">
      <c r="B33" s="2"/>
    </row>
    <row r="34" customFormat="false" ht="15" hidden="false" customHeight="false" outlineLevel="0" collapsed="false">
      <c r="B34" s="2" t="s">
        <v>391</v>
      </c>
    </row>
    <row r="35" customFormat="false" ht="15" hidden="false" customHeight="false" outlineLevel="0" collapsed="false">
      <c r="B35" s="2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56"/>
  </cols>
  <sheetData>
    <row r="1" customFormat="false" ht="17.35" hidden="false" customHeight="false" outlineLevel="0" collapsed="false">
      <c r="A1" s="1" t="s">
        <v>393</v>
      </c>
    </row>
    <row r="2" customFormat="false" ht="15" hidden="false" customHeight="false" outlineLevel="0" collapsed="false">
      <c r="A2" s="2" t="s">
        <v>394</v>
      </c>
    </row>
    <row r="4" customFormat="false" ht="15" hidden="false" customHeight="false" outlineLevel="0" collapsed="false">
      <c r="B4" s="7" t="s">
        <v>395</v>
      </c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B5" s="4" t="s">
        <v>396</v>
      </c>
      <c r="C5" s="46" t="n">
        <f aca="false">ENTRADAS!C43</f>
        <v>80</v>
      </c>
      <c r="D5" s="2" t="s">
        <v>163</v>
      </c>
      <c r="H5" s="2" t="s">
        <v>397</v>
      </c>
    </row>
    <row r="6" customFormat="false" ht="15" hidden="false" customHeight="false" outlineLevel="0" collapsed="false">
      <c r="B6" s="4" t="s">
        <v>159</v>
      </c>
      <c r="C6" s="47" t="n">
        <f aca="false">ENTRADAS!C42</f>
        <v>16</v>
      </c>
      <c r="D6" s="2" t="s">
        <v>160</v>
      </c>
      <c r="H6" s="2" t="s">
        <v>398</v>
      </c>
    </row>
    <row r="7" customFormat="false" ht="15" hidden="false" customHeight="false" outlineLevel="0" collapsed="false">
      <c r="B7" s="4" t="s">
        <v>399</v>
      </c>
      <c r="C7" s="29" t="n">
        <f aca="false">MIN(C5*C6/100,ENTRADAS!C41*ENTRADAS!C57*ENTRADAS!C58)</f>
        <v>6.45</v>
      </c>
      <c r="D7" s="2" t="s">
        <v>261</v>
      </c>
      <c r="H7" s="2" t="s">
        <v>400</v>
      </c>
    </row>
    <row r="8" customFormat="false" ht="15" hidden="false" customHeight="false" outlineLevel="0" collapsed="false">
      <c r="B8" s="4" t="s">
        <v>164</v>
      </c>
      <c r="C8" s="46" t="n">
        <f aca="false">ENTRADAS!C44</f>
        <v>30</v>
      </c>
      <c r="D8" s="2" t="s">
        <v>165</v>
      </c>
      <c r="H8" s="2" t="s">
        <v>401</v>
      </c>
    </row>
    <row r="9" customFormat="false" ht="15" hidden="false" customHeight="false" outlineLevel="0" collapsed="false">
      <c r="B9" s="21" t="s">
        <v>402</v>
      </c>
      <c r="C9" s="48" t="n">
        <f aca="false">C7*C8</f>
        <v>193.5</v>
      </c>
      <c r="D9" s="2" t="s">
        <v>108</v>
      </c>
      <c r="H9" s="2" t="s">
        <v>403</v>
      </c>
    </row>
    <row r="11" customFormat="false" ht="15" hidden="false" customHeight="false" outlineLevel="0" collapsed="false">
      <c r="B11" s="7" t="s">
        <v>404</v>
      </c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B12" s="4" t="s">
        <v>167</v>
      </c>
      <c r="C12" s="49" t="n">
        <f aca="false">ENTRADAS!C45</f>
        <v>0.86</v>
      </c>
      <c r="D12" s="2"/>
      <c r="H12" s="2" t="s">
        <v>405</v>
      </c>
    </row>
    <row r="13" customFormat="false" ht="15" hidden="false" customHeight="false" outlineLevel="0" collapsed="false">
      <c r="B13" s="21" t="s">
        <v>406</v>
      </c>
      <c r="C13" s="48" t="n">
        <f aca="false">C9/C12</f>
        <v>225</v>
      </c>
      <c r="D13" s="2" t="s">
        <v>108</v>
      </c>
      <c r="H13" s="2" t="s">
        <v>407</v>
      </c>
    </row>
    <row r="14" customFormat="false" ht="15" hidden="false" customHeight="false" outlineLevel="0" collapsed="false">
      <c r="B14" s="4" t="s">
        <v>408</v>
      </c>
      <c r="C14" s="12" t="n">
        <f aca="false">C13-C9</f>
        <v>31.5</v>
      </c>
      <c r="D14" s="2" t="s">
        <v>108</v>
      </c>
      <c r="H14" s="2" t="s">
        <v>409</v>
      </c>
    </row>
    <row r="15" customFormat="false" ht="15" hidden="false" customHeight="false" outlineLevel="0" collapsed="false">
      <c r="B15" s="4" t="s">
        <v>410</v>
      </c>
      <c r="C15" s="15" t="n">
        <f aca="false">C13*ENTRADAS!C18</f>
        <v>229.83075</v>
      </c>
      <c r="D15" s="2" t="s">
        <v>128</v>
      </c>
      <c r="H15" s="2" t="s">
        <v>411</v>
      </c>
    </row>
    <row r="16" customFormat="false" ht="15" hidden="false" customHeight="false" outlineLevel="0" collapsed="false">
      <c r="B16" s="4" t="s">
        <v>412</v>
      </c>
      <c r="C16" s="15" t="n">
        <f aca="false">C15*12</f>
        <v>2757.969</v>
      </c>
      <c r="D16" s="2" t="s">
        <v>146</v>
      </c>
      <c r="H16" s="2"/>
    </row>
    <row r="17" customFormat="false" ht="15" hidden="false" customHeight="false" outlineLevel="0" collapsed="false">
      <c r="B17" s="4" t="s">
        <v>413</v>
      </c>
      <c r="C17" s="15" t="n">
        <f aca="false">C13*ENTRADAS!C25</f>
        <v>48.31083</v>
      </c>
      <c r="D17" s="2" t="s">
        <v>128</v>
      </c>
      <c r="H17" s="2" t="s">
        <v>414</v>
      </c>
    </row>
    <row r="18" customFormat="false" ht="15" hidden="false" customHeight="false" outlineLevel="0" collapsed="false">
      <c r="B18" s="21" t="s">
        <v>415</v>
      </c>
      <c r="C18" s="50" t="n">
        <f aca="false">C15-C17</f>
        <v>181.51992</v>
      </c>
      <c r="D18" s="2" t="s">
        <v>128</v>
      </c>
      <c r="H18" s="2" t="s">
        <v>416</v>
      </c>
    </row>
    <row r="19" customFormat="false" ht="15" hidden="false" customHeight="false" outlineLevel="0" collapsed="false">
      <c r="B19" s="4" t="s">
        <v>417</v>
      </c>
      <c r="C19" s="15" t="n">
        <f aca="false">C18*12</f>
        <v>2178.23904</v>
      </c>
      <c r="D19" s="2" t="s">
        <v>146</v>
      </c>
      <c r="H19" s="2"/>
    </row>
    <row r="20" customFormat="false" ht="15" hidden="false" customHeight="false" outlineLevel="0" collapsed="false">
      <c r="B20" s="4" t="s">
        <v>418</v>
      </c>
      <c r="C20" s="15" t="n">
        <f aca="false">IFERROR(C15/(C5*C8),0)</f>
        <v>0.0957628125</v>
      </c>
      <c r="D20" s="2" t="s">
        <v>419</v>
      </c>
      <c r="H20" s="2" t="s">
        <v>420</v>
      </c>
    </row>
    <row r="21" customFormat="false" ht="15" hidden="false" customHeight="false" outlineLevel="0" collapsed="false">
      <c r="B21" s="4" t="s">
        <v>421</v>
      </c>
      <c r="C21" s="15" t="n">
        <f aca="false">IFERROR(C17/(C5*C8),0)</f>
        <v>0.0201295125</v>
      </c>
      <c r="D21" s="2" t="s">
        <v>419</v>
      </c>
      <c r="H21" s="2" t="s">
        <v>422</v>
      </c>
    </row>
    <row r="23" customFormat="false" ht="15" hidden="false" customHeight="false" outlineLevel="0" collapsed="false">
      <c r="B23" s="7" t="s">
        <v>423</v>
      </c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B24" s="4" t="s">
        <v>424</v>
      </c>
      <c r="C24" s="47" t="n">
        <f aca="false">ENTRADAS!C46</f>
        <v>3.3</v>
      </c>
      <c r="D24" s="2" t="s">
        <v>170</v>
      </c>
      <c r="H24" s="2" t="s">
        <v>425</v>
      </c>
    </row>
    <row r="25" customFormat="false" ht="15" hidden="false" customHeight="false" outlineLevel="0" collapsed="false">
      <c r="B25" s="4" t="s">
        <v>426</v>
      </c>
      <c r="C25" s="29" t="n">
        <f aca="false">IFERROR(C13/C8/C24,0)</f>
        <v>2.27272727272727</v>
      </c>
      <c r="D25" s="2" t="s">
        <v>427</v>
      </c>
      <c r="H25" s="2" t="s">
        <v>428</v>
      </c>
    </row>
    <row r="26" customFormat="false" ht="15" hidden="false" customHeight="false" outlineLevel="0" collapsed="false">
      <c r="B26" s="4" t="s">
        <v>429</v>
      </c>
      <c r="C26" s="29" t="n">
        <f aca="false">IFERROR(ENTRADAS!C41/ENTRADAS!C45/C24,0)</f>
        <v>4.54545454545455</v>
      </c>
      <c r="D26" s="2" t="s">
        <v>430</v>
      </c>
      <c r="H26" s="2" t="s">
        <v>431</v>
      </c>
    </row>
    <row r="27" customFormat="false" ht="15" hidden="false" customHeight="false" outlineLevel="0" collapsed="false">
      <c r="B27" s="4" t="s">
        <v>432</v>
      </c>
      <c r="C27" s="29" t="n">
        <f aca="false">IFERROR(C24*1000/220,0)</f>
        <v>15</v>
      </c>
      <c r="D27" s="2" t="s">
        <v>433</v>
      </c>
      <c r="H27" s="2" t="s">
        <v>434</v>
      </c>
    </row>
    <row r="28" customFormat="false" ht="15" hidden="false" customHeight="false" outlineLevel="0" collapsed="false">
      <c r="B28" s="4" t="s">
        <v>435</v>
      </c>
      <c r="C28" s="29" t="n">
        <f aca="false">IFERROR(C27*1.25,0)</f>
        <v>18.75</v>
      </c>
      <c r="D28" s="2" t="s">
        <v>433</v>
      </c>
      <c r="H28" s="2" t="s">
        <v>436</v>
      </c>
    </row>
    <row r="29" customFormat="false" ht="15" hidden="false" customHeight="false" outlineLevel="0" collapsed="false">
      <c r="B29" s="4" t="s">
        <v>437</v>
      </c>
      <c r="C29" s="29" t="n">
        <f aca="false">C24*1</f>
        <v>3.3</v>
      </c>
      <c r="D29" s="2" t="s">
        <v>157</v>
      </c>
      <c r="H29" s="2" t="s">
        <v>438</v>
      </c>
    </row>
    <row r="31" customFormat="false" ht="15" hidden="false" customHeight="false" outlineLevel="0" collapsed="false">
      <c r="B31" s="7" t="s">
        <v>439</v>
      </c>
      <c r="C31" s="8"/>
      <c r="D31" s="8"/>
      <c r="E31" s="8"/>
      <c r="F31" s="8"/>
      <c r="G31" s="8"/>
      <c r="H31" s="8"/>
    </row>
    <row r="32" customFormat="false" ht="23.85" hidden="false" customHeight="false" outlineLevel="0" collapsed="false">
      <c r="B32" s="17" t="s">
        <v>440</v>
      </c>
      <c r="C32" s="17" t="s">
        <v>441</v>
      </c>
      <c r="D32" s="17" t="s">
        <v>442</v>
      </c>
      <c r="E32" s="17" t="s">
        <v>443</v>
      </c>
      <c r="F32" s="17" t="s">
        <v>444</v>
      </c>
      <c r="G32" s="17" t="s">
        <v>445</v>
      </c>
    </row>
    <row r="33" customFormat="false" ht="15" hidden="false" customHeight="false" outlineLevel="0" collapsed="false">
      <c r="B33" s="18" t="s">
        <v>446</v>
      </c>
      <c r="C33" s="32" t="n">
        <f aca="false">ENTRADAS!C52</f>
        <v>351.82709306637</v>
      </c>
      <c r="D33" s="39" t="n">
        <f aca="false">0</f>
        <v>0</v>
      </c>
      <c r="E33" s="39" t="n">
        <f aca="false">0</f>
        <v>0</v>
      </c>
      <c r="F33" s="48" t="n">
        <f aca="false">C33+D33+E33</f>
        <v>351.82709306637</v>
      </c>
      <c r="G33" s="39" t="n">
        <f aca="false">F33*12</f>
        <v>4221.92511679644</v>
      </c>
    </row>
    <row r="34" customFormat="false" ht="15" hidden="false" customHeight="false" outlineLevel="0" collapsed="false">
      <c r="B34" s="18" t="s">
        <v>447</v>
      </c>
      <c r="C34" s="32" t="n">
        <f aca="false">ENTRADAS!C52</f>
        <v>351.82709306637</v>
      </c>
      <c r="D34" s="39" t="n">
        <f aca="false">C13</f>
        <v>225</v>
      </c>
      <c r="E34" s="39" t="n">
        <f aca="false">0</f>
        <v>0</v>
      </c>
      <c r="F34" s="48" t="n">
        <f aca="false">C34+D34+E34</f>
        <v>576.82709306637</v>
      </c>
      <c r="G34" s="39" t="n">
        <f aca="false">F34*12</f>
        <v>6921.92511679644</v>
      </c>
    </row>
    <row r="35" customFormat="false" ht="15" hidden="false" customHeight="false" outlineLevel="0" collapsed="false">
      <c r="B35" s="51" t="s">
        <v>448</v>
      </c>
      <c r="C35" s="32" t="n">
        <f aca="false">ENTRADAS!C52</f>
        <v>351.82709306637</v>
      </c>
      <c r="D35" s="39" t="n">
        <f aca="false">C13</f>
        <v>225</v>
      </c>
      <c r="E35" s="39" t="n">
        <f aca="false">(C35+D35)*ENTRADAS!C48</f>
        <v>86.5240639599555</v>
      </c>
      <c r="F35" s="52" t="n">
        <f aca="false">C35+D35+E35</f>
        <v>663.351157026326</v>
      </c>
      <c r="G35" s="39" t="n">
        <f aca="false">F35*12</f>
        <v>7960.21388431591</v>
      </c>
    </row>
    <row r="37" customFormat="false" ht="15" hidden="false" customHeight="false" outlineLevel="0" collapsed="false">
      <c r="C37" s="5" t="str">
        <f aca="false">"O BYD aumenta o consumo da residencia em "&amp;TEXT(IFERROR(D34/C34,0),"0.0%")&amp;" - de "&amp;TEXT(C34,"0")&amp;" para "&amp;TEXT(F34,"0")&amp;" kWh/mes."</f>
        <v>O BYD aumenta o consumo da residencia em 64.0% - de 352 para 577 kWh/mes.</v>
      </c>
    </row>
    <row r="38" customFormat="false" ht="15" hidden="false" customHeight="false" outlineLevel="0" collapsed="false">
      <c r="C38" s="5" t="str">
        <f aca="false">"O Cenario 3 ("&amp;TEXT(F35,"0")&amp;" kWh/mes) e o que deve orientar o dimensionamento, NAO a media de "&amp;TEXT(C33,"0")&amp;" kWh/mes da conta."</f>
        <v>O Cenario 3 (663 kWh/mes) e o que deve orientar o dimensionamento, NAO a media de 352 kWh/mes da conta.</v>
      </c>
    </row>
    <row r="40" customFormat="false" ht="15" hidden="false" customHeight="false" outlineLevel="0" collapsed="false">
      <c r="B40" s="7" t="s">
        <v>449</v>
      </c>
      <c r="C40" s="8"/>
      <c r="D40" s="8"/>
      <c r="E40" s="8"/>
      <c r="F40" s="8"/>
      <c r="G40" s="8"/>
      <c r="H40" s="8"/>
    </row>
    <row r="41" customFormat="false" ht="23.85" hidden="false" customHeight="false" outlineLevel="0" collapsed="false">
      <c r="B41" s="17" t="s">
        <v>450</v>
      </c>
      <c r="C41" s="17" t="s">
        <v>451</v>
      </c>
      <c r="D41" s="17" t="s">
        <v>452</v>
      </c>
      <c r="E41" s="17" t="s">
        <v>453</v>
      </c>
      <c r="F41" s="17" t="s">
        <v>454</v>
      </c>
      <c r="G41" s="17" t="s">
        <v>455</v>
      </c>
    </row>
    <row r="42" customFormat="false" ht="57.45" hidden="false" customHeight="false" outlineLevel="0" collapsed="false">
      <c r="B42" s="53" t="s">
        <v>456</v>
      </c>
      <c r="C42" s="54" t="s">
        <v>457</v>
      </c>
      <c r="D42" s="55" t="n">
        <f aca="false">0</f>
        <v>0</v>
      </c>
      <c r="E42" s="56" t="n">
        <f aca="false">0</f>
        <v>0</v>
      </c>
      <c r="F42" s="54" t="s">
        <v>458</v>
      </c>
      <c r="G42" s="54" t="s">
        <v>459</v>
      </c>
    </row>
    <row r="43" customFormat="false" ht="57.45" hidden="false" customHeight="false" outlineLevel="0" collapsed="false">
      <c r="B43" s="53" t="s">
        <v>460</v>
      </c>
      <c r="C43" s="54" t="s">
        <v>461</v>
      </c>
      <c r="D43" s="55" t="n">
        <f aca="false">ENTRADAS!C25</f>
        <v>0.2147148</v>
      </c>
      <c r="E43" s="55" t="n">
        <f aca="false">C13*ENTRADAS!C25</f>
        <v>48.31083</v>
      </c>
      <c r="F43" s="54" t="s">
        <v>462</v>
      </c>
      <c r="G43" s="54" t="s">
        <v>463</v>
      </c>
    </row>
    <row r="44" customFormat="false" ht="15" hidden="false" customHeight="false" outlineLevel="0" collapsed="false">
      <c r="B44" s="53" t="s">
        <v>464</v>
      </c>
      <c r="C44" s="54" t="s">
        <v>465</v>
      </c>
      <c r="D44" s="55" t="n">
        <f aca="false">ENTRADAS!C18</f>
        <v>1.02147</v>
      </c>
      <c r="E44" s="57" t="n">
        <f aca="false">C13*ENTRADAS!C18</f>
        <v>229.83075</v>
      </c>
      <c r="F44" s="54" t="s">
        <v>466</v>
      </c>
      <c r="G44" s="54" t="s">
        <v>467</v>
      </c>
    </row>
    <row r="45" customFormat="false" ht="15" hidden="false" customHeight="false" outlineLevel="0" collapsed="false">
      <c r="B45" s="21" t="s">
        <v>468</v>
      </c>
    </row>
    <row r="46" customFormat="false" ht="15" hidden="false" customHeight="false" outlineLevel="0" collapsed="false">
      <c r="C46" s="23" t="n">
        <f aca="false">(E43-E42)*12</f>
        <v>579.72996</v>
      </c>
      <c r="D46" s="2" t="s">
        <v>469</v>
      </c>
    </row>
    <row r="47" customFormat="false" ht="15" hidden="false" customHeight="false" outlineLevel="0" collapsed="false">
      <c r="B47" s="4" t="s">
        <v>470</v>
      </c>
    </row>
    <row r="48" customFormat="false" ht="15" hidden="false" customHeight="false" outlineLevel="0" collapsed="false">
      <c r="B48" s="4" t="s">
        <v>471</v>
      </c>
    </row>
    <row r="51" customFormat="false" ht="15" hidden="false" customHeight="false" outlineLevel="0" collapsed="false">
      <c r="B51" s="7" t="s">
        <v>472</v>
      </c>
      <c r="C51" s="8"/>
      <c r="D51" s="8"/>
      <c r="E51" s="8"/>
      <c r="F51" s="8"/>
      <c r="G51" s="8"/>
      <c r="H51" s="8"/>
    </row>
    <row r="52" customFormat="false" ht="15" hidden="false" customHeight="false" outlineLevel="0" collapsed="false">
      <c r="B52" s="4" t="s">
        <v>473</v>
      </c>
      <c r="C52" s="46" t="n">
        <f aca="false">CONTA!C77*30.4</f>
        <v>351.82709306637</v>
      </c>
      <c r="D52" s="2" t="s">
        <v>108</v>
      </c>
    </row>
    <row r="53" customFormat="false" ht="15" hidden="false" customHeight="false" outlineLevel="0" collapsed="false">
      <c r="B53" s="4" t="s">
        <v>474</v>
      </c>
      <c r="C53" s="46" t="n">
        <f aca="false">CONTA!C78*30.4</f>
        <v>467.640097526994</v>
      </c>
      <c r="D53" s="2" t="s">
        <v>108</v>
      </c>
    </row>
    <row r="54" customFormat="false" ht="15" hidden="false" customHeight="false" outlineLevel="0" collapsed="false">
      <c r="B54" s="4" t="s">
        <v>475</v>
      </c>
      <c r="C54" s="46" t="n">
        <f aca="false">CONTA!C80</f>
        <v>115.813004460624</v>
      </c>
      <c r="D54" s="2" t="s">
        <v>108</v>
      </c>
    </row>
    <row r="55" customFormat="false" ht="15" hidden="false" customHeight="false" outlineLevel="0" collapsed="false">
      <c r="B55" s="4" t="s">
        <v>345</v>
      </c>
      <c r="C55" s="47" t="n">
        <f aca="false">CONTA!C86</f>
        <v>0.186046511627907</v>
      </c>
      <c r="D55" s="2" t="s">
        <v>346</v>
      </c>
    </row>
    <row r="57" customFormat="false" ht="45.75" hidden="false" customHeight="true" outlineLevel="0" collapsed="false">
      <c r="B57" s="17" t="s">
        <v>476</v>
      </c>
      <c r="C57" s="17" t="s">
        <v>477</v>
      </c>
      <c r="D57" s="17" t="s">
        <v>478</v>
      </c>
      <c r="E57" s="17" t="s">
        <v>479</v>
      </c>
      <c r="F57" s="17" t="s">
        <v>480</v>
      </c>
      <c r="G57" s="17" t="s">
        <v>481</v>
      </c>
      <c r="H57" s="17" t="s">
        <v>480</v>
      </c>
    </row>
    <row r="58" customFormat="false" ht="15" hidden="false" customHeight="false" outlineLevel="0" collapsed="false">
      <c r="B58" s="11" t="n">
        <v>400</v>
      </c>
      <c r="C58" s="39" t="n">
        <f aca="false">B58/30.4</f>
        <v>13.1578947368421</v>
      </c>
      <c r="D58" s="39" t="n">
        <f aca="false">B58*$C$55</f>
        <v>74.4186046511628</v>
      </c>
      <c r="E58" s="39" t="n">
        <f aca="false">$C$52+D58</f>
        <v>426.245697717533</v>
      </c>
      <c r="F58" s="58" t="n">
        <f aca="false">E58*12/GERACAO!$I$17*1.1</f>
        <v>4.45035291707951</v>
      </c>
      <c r="G58" s="39" t="n">
        <f aca="false">$C$53+D58</f>
        <v>542.058702178157</v>
      </c>
      <c r="H58" s="59" t="n">
        <f aca="false">G58*12/GERACAO!$I$17*1.1</f>
        <v>5.65953519152122</v>
      </c>
    </row>
    <row r="59" customFormat="false" ht="15" hidden="false" customHeight="false" outlineLevel="0" collapsed="false">
      <c r="B59" s="11" t="n">
        <v>600</v>
      </c>
      <c r="C59" s="39" t="n">
        <f aca="false">B59/30.4</f>
        <v>19.7368421052632</v>
      </c>
      <c r="D59" s="39" t="n">
        <f aca="false">B59*$C$55</f>
        <v>111.627906976744</v>
      </c>
      <c r="E59" s="39" t="n">
        <f aca="false">$C$52+D59</f>
        <v>463.455000043114</v>
      </c>
      <c r="F59" s="58" t="n">
        <f aca="false">E59*12/GERACAO!$I$17*1.1</f>
        <v>4.8388483975826</v>
      </c>
      <c r="G59" s="39" t="n">
        <f aca="false">$C$53+D59</f>
        <v>579.268004503738</v>
      </c>
      <c r="H59" s="59" t="n">
        <f aca="false">G59*12/GERACAO!$I$17*1.1</f>
        <v>6.04803067202431</v>
      </c>
    </row>
    <row r="60" customFormat="false" ht="15" hidden="false" customHeight="false" outlineLevel="0" collapsed="false">
      <c r="B60" s="11" t="n">
        <v>800</v>
      </c>
      <c r="C60" s="39" t="n">
        <f aca="false">B60/30.4</f>
        <v>26.3157894736842</v>
      </c>
      <c r="D60" s="39" t="n">
        <f aca="false">B60*$C$55</f>
        <v>148.837209302326</v>
      </c>
      <c r="E60" s="39" t="n">
        <f aca="false">$C$52+D60</f>
        <v>500.664302368696</v>
      </c>
      <c r="F60" s="58" t="n">
        <f aca="false">E60*12/GERACAO!$I$17*1.1</f>
        <v>5.22734387808568</v>
      </c>
      <c r="G60" s="39" t="n">
        <f aca="false">$C$53+D60</f>
        <v>616.47730682932</v>
      </c>
      <c r="H60" s="59" t="n">
        <f aca="false">G60*12/GERACAO!$I$17*1.1</f>
        <v>6.43652615252739</v>
      </c>
    </row>
    <row r="61" customFormat="false" ht="15" hidden="false" customHeight="false" outlineLevel="0" collapsed="false">
      <c r="B61" s="11" t="n">
        <v>1000</v>
      </c>
      <c r="C61" s="39" t="n">
        <f aca="false">B61/30.4</f>
        <v>32.8947368421053</v>
      </c>
      <c r="D61" s="39" t="n">
        <f aca="false">B61*$C$55</f>
        <v>186.046511627907</v>
      </c>
      <c r="E61" s="39" t="n">
        <f aca="false">$C$52+D61</f>
        <v>537.873604694277</v>
      </c>
      <c r="F61" s="58" t="n">
        <f aca="false">E61*12/GERACAO!$I$17*1.1</f>
        <v>5.61583935858876</v>
      </c>
      <c r="G61" s="39" t="n">
        <f aca="false">$C$53+D61</f>
        <v>653.686609154901</v>
      </c>
      <c r="H61" s="59" t="n">
        <f aca="false">G61*12/GERACAO!$I$17*1.1</f>
        <v>6.82502163303047</v>
      </c>
    </row>
    <row r="62" customFormat="false" ht="15" hidden="false" customHeight="false" outlineLevel="0" collapsed="false">
      <c r="B62" s="11" t="n">
        <v>1200</v>
      </c>
      <c r="C62" s="39" t="n">
        <f aca="false">B62/30.4</f>
        <v>39.4736842105263</v>
      </c>
      <c r="D62" s="39" t="n">
        <f aca="false">B62*$C$55</f>
        <v>223.255813953488</v>
      </c>
      <c r="E62" s="39" t="n">
        <f aca="false">$C$52+D62</f>
        <v>575.082907019858</v>
      </c>
      <c r="F62" s="58" t="n">
        <f aca="false">E62*12/GERACAO!$I$17*1.1</f>
        <v>6.00433483909184</v>
      </c>
      <c r="G62" s="39" t="n">
        <f aca="false">$C$53+D62</f>
        <v>690.895911480482</v>
      </c>
      <c r="H62" s="59" t="n">
        <f aca="false">G62*12/GERACAO!$I$17*1.1</f>
        <v>7.21351711353355</v>
      </c>
    </row>
    <row r="63" customFormat="false" ht="15" hidden="false" customHeight="false" outlineLevel="0" collapsed="false">
      <c r="B63" s="11" t="n">
        <v>1500</v>
      </c>
      <c r="C63" s="39" t="n">
        <f aca="false">B63/30.4</f>
        <v>49.3421052631579</v>
      </c>
      <c r="D63" s="39" t="n">
        <f aca="false">B63*$C$55</f>
        <v>279.06976744186</v>
      </c>
      <c r="E63" s="39" t="n">
        <f aca="false">$C$52+D63</f>
        <v>630.896860508231</v>
      </c>
      <c r="F63" s="58" t="n">
        <f aca="false">E63*12/GERACAO!$I$17*1.1</f>
        <v>6.58707805984647</v>
      </c>
      <c r="G63" s="39" t="n">
        <f aca="false">$C$53+D63</f>
        <v>746.709864968854</v>
      </c>
      <c r="H63" s="59" t="n">
        <f aca="false">G63*12/GERACAO!$I$17*1.1</f>
        <v>7.79626033428818</v>
      </c>
    </row>
    <row r="65" customFormat="false" ht="15" hidden="false" customHeight="false" outlineLevel="0" collapsed="false">
      <c r="B65" s="4" t="s">
        <v>482</v>
      </c>
    </row>
    <row r="66" customFormat="false" ht="15" hidden="false" customHeight="false" outlineLevel="0" collapsed="false">
      <c r="B66" s="4" t="s">
        <v>483</v>
      </c>
    </row>
    <row r="67" customFormat="false" ht="15" hidden="false" customHeight="false" outlineLevel="0" collapsed="false">
      <c r="B67" s="4" t="s">
        <v>484</v>
      </c>
    </row>
    <row r="68" customFormat="false" ht="15" hidden="false" customHeight="false" outlineLevel="0" collapsed="false">
      <c r="B68" s="4" t="s">
        <v>485</v>
      </c>
    </row>
    <row r="69" customFormat="false" ht="15" hidden="false" customHeight="false" outlineLevel="0" collapsed="false">
      <c r="B69" s="4"/>
    </row>
    <row r="70" customFormat="false" ht="15" hidden="false" customHeight="false" outlineLevel="0" collapsed="false">
      <c r="B70" s="5" t="s">
        <v>486</v>
      </c>
    </row>
    <row r="71" customFormat="false" ht="15" hidden="false" customHeight="false" outlineLevel="0" collapsed="false">
      <c r="B71" s="4" t="s">
        <v>487</v>
      </c>
    </row>
    <row r="72" customFormat="false" ht="15" hidden="false" customHeight="false" outlineLevel="0" collapsed="false">
      <c r="B72" s="4" t="s">
        <v>488</v>
      </c>
    </row>
    <row r="73" customFormat="false" ht="15" hidden="false" customHeight="false" outlineLevel="0" collapsed="false">
      <c r="B73" s="4"/>
    </row>
    <row r="74" customFormat="false" ht="15" hidden="false" customHeight="false" outlineLevel="0" collapsed="false">
      <c r="B74" s="5" t="s">
        <v>489</v>
      </c>
    </row>
    <row r="75" customFormat="false" ht="15" hidden="false" customHeight="false" outlineLevel="0" collapsed="false">
      <c r="B75" s="4" t="s">
        <v>490</v>
      </c>
    </row>
    <row r="78" customFormat="false" ht="15" hidden="false" customHeight="false" outlineLevel="0" collapsed="false">
      <c r="B78" s="7" t="s">
        <v>491</v>
      </c>
      <c r="C78" s="8"/>
      <c r="D78" s="8"/>
      <c r="E78" s="8"/>
      <c r="F78" s="8"/>
      <c r="G78" s="8"/>
      <c r="H78" s="8"/>
    </row>
    <row r="79" customFormat="false" ht="15" hidden="false" customHeight="false" outlineLevel="0" collapsed="false">
      <c r="B79" s="4" t="s">
        <v>492</v>
      </c>
      <c r="C79" s="29" t="n">
        <f aca="false">ENTRADAS!C41</f>
        <v>12.9</v>
      </c>
      <c r="D79" s="2" t="s">
        <v>157</v>
      </c>
      <c r="H79" s="2" t="s">
        <v>493</v>
      </c>
    </row>
    <row r="80" customFormat="false" ht="15" hidden="false" customHeight="false" outlineLevel="0" collapsed="false">
      <c r="B80" s="4" t="s">
        <v>494</v>
      </c>
      <c r="C80" s="30" t="n">
        <f aca="false">ENTRADAS!C49</f>
        <v>0.25</v>
      </c>
      <c r="D80" s="2"/>
      <c r="H80" s="2" t="s">
        <v>495</v>
      </c>
    </row>
    <row r="81" customFormat="false" ht="15" hidden="false" customHeight="false" outlineLevel="0" collapsed="false">
      <c r="B81" s="4" t="s">
        <v>496</v>
      </c>
      <c r="C81" s="29" t="n">
        <f aca="false">C79*(1-C80)</f>
        <v>9.675</v>
      </c>
      <c r="D81" s="2" t="s">
        <v>157</v>
      </c>
      <c r="H81" s="2" t="s">
        <v>497</v>
      </c>
    </row>
    <row r="82" customFormat="false" ht="15" hidden="false" customHeight="false" outlineLevel="0" collapsed="false">
      <c r="B82" s="4" t="s">
        <v>498</v>
      </c>
      <c r="C82" s="29" t="n">
        <f aca="false">IFERROR(C81/ENTRADAS!C45,0)</f>
        <v>11.25</v>
      </c>
      <c r="D82" s="2" t="s">
        <v>157</v>
      </c>
      <c r="H82" s="2" t="s">
        <v>499</v>
      </c>
    </row>
    <row r="83" customFormat="false" ht="15" hidden="false" customHeight="false" outlineLevel="0" collapsed="false">
      <c r="B83" s="21" t="s">
        <v>500</v>
      </c>
      <c r="C83" s="38" t="n">
        <f aca="false">IFERROR(C81/(ENTRADAS!C42/100),0)</f>
        <v>60.46875</v>
      </c>
      <c r="D83" s="2" t="s">
        <v>501</v>
      </c>
      <c r="H83" s="2" t="s">
        <v>502</v>
      </c>
    </row>
    <row r="84" customFormat="false" ht="15" hidden="false" customHeight="false" outlineLevel="0" collapsed="false">
      <c r="B84" s="4" t="s">
        <v>503</v>
      </c>
      <c r="C84" s="12" t="n">
        <f aca="false">ENTRADAS!C43</f>
        <v>80</v>
      </c>
      <c r="D84" s="2" t="s">
        <v>163</v>
      </c>
      <c r="H84" s="2" t="s">
        <v>504</v>
      </c>
    </row>
    <row r="85" customFormat="false" ht="15" hidden="false" customHeight="false" outlineLevel="0" collapsed="false">
      <c r="B85" s="21" t="s">
        <v>505</v>
      </c>
      <c r="C85" s="60" t="n">
        <f aca="false">IFERROR(C84/C83,0)</f>
        <v>1.32299741602067</v>
      </c>
      <c r="D85" s="2" t="s">
        <v>192</v>
      </c>
      <c r="H85" s="2" t="s">
        <v>506</v>
      </c>
    </row>
    <row r="86" customFormat="false" ht="15" hidden="false" customHeight="false" outlineLevel="0" collapsed="false">
      <c r="B86" s="4" t="s">
        <v>507</v>
      </c>
      <c r="C86" s="12" t="n">
        <f aca="false">MAX(0,C84-C83)</f>
        <v>19.53125</v>
      </c>
      <c r="D86" s="2" t="s">
        <v>163</v>
      </c>
      <c r="H86" s="2" t="s">
        <v>508</v>
      </c>
    </row>
    <row r="87" customFormat="false" ht="15" hidden="false" customHeight="false" outlineLevel="0" collapsed="false">
      <c r="B87" s="4" t="s">
        <v>509</v>
      </c>
      <c r="C87" s="29" t="n">
        <f aca="false">IFERROR(C84*ENTRADAS!C42/100/ENTRADAS!C45/ENTRADAS!C46,0)</f>
        <v>4.51021846370684</v>
      </c>
      <c r="D87" s="2" t="s">
        <v>427</v>
      </c>
      <c r="H87" s="2" t="s">
        <v>510</v>
      </c>
    </row>
    <row r="88" customFormat="false" ht="15" hidden="false" customHeight="false" outlineLevel="0" collapsed="false">
      <c r="C88" s="5" t="str">
        <f aca="false">IF(C85&gt;1,"NAO COBRE COM UMA CARGA - sao necessarias "&amp;TEXT(C85,"0.0")&amp;" cargas por dia para rodar tudo no eletrico","Uma carga por dia cobre a quilometragem")</f>
        <v>NAO COBRE COM UMA CARGA - sao necessarias 1.3 cargas por dia para rodar tudo no eletrico</v>
      </c>
    </row>
    <row r="90" customFormat="false" ht="15" hidden="false" customHeight="false" outlineLevel="0" collapsed="false">
      <c r="B90" s="7" t="s">
        <v>511</v>
      </c>
      <c r="C90" s="8"/>
      <c r="D90" s="8"/>
      <c r="E90" s="8"/>
      <c r="F90" s="8"/>
      <c r="G90" s="8"/>
      <c r="H90" s="8"/>
    </row>
    <row r="91" customFormat="false" ht="43.5" hidden="false" customHeight="true" outlineLevel="0" collapsed="false">
      <c r="B91" s="17" t="s">
        <v>512</v>
      </c>
      <c r="C91" s="17" t="s">
        <v>513</v>
      </c>
      <c r="D91" s="17" t="s">
        <v>514</v>
      </c>
      <c r="E91" s="17" t="s">
        <v>515</v>
      </c>
      <c r="F91" s="17" t="s">
        <v>480</v>
      </c>
      <c r="G91" s="17" t="s">
        <v>516</v>
      </c>
    </row>
    <row r="92" customFormat="false" ht="15" hidden="false" customHeight="false" outlineLevel="0" collapsed="false">
      <c r="B92" s="61" t="s">
        <v>517</v>
      </c>
      <c r="C92" s="19" t="n">
        <f aca="false">C82</f>
        <v>11.25</v>
      </c>
      <c r="D92" s="39" t="n">
        <f aca="false">C92*ENTRADAS!C44</f>
        <v>337.5</v>
      </c>
      <c r="E92" s="39" t="n">
        <f aca="false">ENTRADAS!C52+D92</f>
        <v>689.32709306637</v>
      </c>
      <c r="F92" s="19" t="n">
        <f aca="false">IFERROR(E92*12/GERACAO!$I$17*1.1,0)</f>
        <v>7.19713736907396</v>
      </c>
      <c r="G92" s="39" t="n">
        <f aca="false">IFERROR(ROUNDUP(F92*1000/650,0),0)</f>
        <v>12</v>
      </c>
      <c r="H92" s="2" t="s">
        <v>518</v>
      </c>
    </row>
    <row r="93" customFormat="false" ht="15" hidden="false" customHeight="false" outlineLevel="0" collapsed="false">
      <c r="B93" s="62" t="s">
        <v>519</v>
      </c>
      <c r="C93" s="19" t="n">
        <f aca="false">ENTRADAS!C43*ENTRADAS!C42/100/ENTRADAS!C45</f>
        <v>14.8837209302326</v>
      </c>
      <c r="D93" s="39" t="n">
        <f aca="false">C93*ENTRADAS!C44</f>
        <v>446.511627906977</v>
      </c>
      <c r="E93" s="63" t="n">
        <f aca="false">ENTRADAS!C52+D93</f>
        <v>798.338720973347</v>
      </c>
      <c r="F93" s="59" t="n">
        <f aca="false">IFERROR(E93*12/GERACAO!$I$17*1.1,0)</f>
        <v>8.33530772211034</v>
      </c>
      <c r="G93" s="63" t="n">
        <f aca="false">IFERROR(ROUNDUP(F93*1000/650,0),0)</f>
        <v>13</v>
      </c>
      <c r="H93" s="10" t="s">
        <v>520</v>
      </c>
    </row>
    <row r="94" customFormat="false" ht="15" hidden="false" customHeight="false" outlineLevel="0" collapsed="false">
      <c r="B94" s="61" t="s">
        <v>521</v>
      </c>
      <c r="C94" s="19" t="n">
        <f aca="false">IFERROR(CONTA!C80/ENTRADAS!C44,0)</f>
        <v>3.8604334820208</v>
      </c>
      <c r="D94" s="39" t="n">
        <f aca="false">C94*ENTRADAS!C44</f>
        <v>115.813004460624</v>
      </c>
      <c r="E94" s="39" t="n">
        <f aca="false">ENTRADAS!C52+D94</f>
        <v>467.640097526994</v>
      </c>
      <c r="F94" s="19" t="n">
        <f aca="false">IFERROR(E94*12/GERACAO!$I$17*1.1,0)</f>
        <v>4.88254423051506</v>
      </c>
      <c r="G94" s="39" t="n">
        <f aca="false">IFERROR(ROUNDUP(F94*1000/650,0),0)</f>
        <v>8</v>
      </c>
      <c r="H94" s="2" t="s">
        <v>522</v>
      </c>
    </row>
    <row r="95" customFormat="false" ht="15" hidden="false" customHeight="false" outlineLevel="0" collapsed="false">
      <c r="B95" s="61" t="s">
        <v>523</v>
      </c>
      <c r="C95" s="19" t="n">
        <f aca="false">C13/ENTRADAS!C44</f>
        <v>7.5</v>
      </c>
      <c r="D95" s="39" t="n">
        <f aca="false">C95*ENTRADAS!C44</f>
        <v>225</v>
      </c>
      <c r="E95" s="64" t="n">
        <f aca="false">ENTRADAS!C52+D95</f>
        <v>576.82709306637</v>
      </c>
      <c r="F95" s="58" t="n">
        <f aca="false">IFERROR(E95*12/GERACAO!$I$17*1.1,0)</f>
        <v>6.02254556474042</v>
      </c>
      <c r="G95" s="64" t="n">
        <f aca="false">IFERROR(ROUNDUP(F95*1000/650,0),0)</f>
        <v>10</v>
      </c>
      <c r="H95" s="2" t="s">
        <v>524</v>
      </c>
    </row>
    <row r="96" customFormat="false" ht="15" hidden="false" customHeight="false" outlineLevel="0" collapsed="false">
      <c r="B96" s="3" t="s">
        <v>525</v>
      </c>
    </row>
    <row r="97" customFormat="false" ht="15" hidden="false" customHeight="false" outlineLevel="0" collapsed="false">
      <c r="B97" s="4" t="s">
        <v>526</v>
      </c>
    </row>
    <row r="98" customFormat="false" ht="15" hidden="false" customHeight="false" outlineLevel="0" collapsed="false">
      <c r="B98" s="4" t="s">
        <v>527</v>
      </c>
    </row>
    <row r="99" customFormat="false" ht="15" hidden="false" customHeight="false" outlineLevel="0" collapsed="false">
      <c r="B99" s="4" t="s">
        <v>528</v>
      </c>
    </row>
    <row r="100" customFormat="false" ht="15" hidden="false" customHeight="false" outlineLevel="0" collapsed="false">
      <c r="B100" s="4"/>
    </row>
    <row r="101" customFormat="false" ht="15" hidden="false" customHeight="false" outlineLevel="0" collapsed="false">
      <c r="B101" s="3" t="s">
        <v>529</v>
      </c>
    </row>
    <row r="102" customFormat="false" ht="15" hidden="false" customHeight="false" outlineLevel="0" collapsed="false">
      <c r="B102" s="4" t="s">
        <v>530</v>
      </c>
    </row>
    <row r="103" customFormat="false" ht="15" hidden="false" customHeight="false" outlineLevel="0" collapsed="false">
      <c r="B103" s="4" t="s">
        <v>531</v>
      </c>
    </row>
    <row r="104" customFormat="false" ht="15" hidden="false" customHeight="false" outlineLevel="0" collapsed="false">
      <c r="B104" s="4" t="s">
        <v>532</v>
      </c>
    </row>
    <row r="105" customFormat="false" ht="15" hidden="false" customHeight="false" outlineLevel="0" collapsed="false">
      <c r="B105" s="5" t="s">
        <v>533</v>
      </c>
    </row>
    <row r="106" customFormat="false" ht="15" hidden="false" customHeight="false" outlineLevel="0" collapsed="false">
      <c r="B106" s="4" t="s">
        <v>534</v>
      </c>
    </row>
    <row r="107" customFormat="false" ht="15" hidden="false" customHeight="false" outlineLevel="0" collapsed="false">
      <c r="B107" s="4"/>
    </row>
    <row r="108" customFormat="false" ht="15" hidden="false" customHeight="false" outlineLevel="0" collapsed="false">
      <c r="B108" s="5" t="s">
        <v>535</v>
      </c>
    </row>
    <row r="109" customFormat="false" ht="15" hidden="false" customHeight="false" outlineLevel="0" collapsed="false">
      <c r="B109" s="4" t="s">
        <v>536</v>
      </c>
    </row>
    <row r="110" customFormat="false" ht="15" hidden="false" customHeight="false" outlineLevel="0" collapsed="false">
      <c r="B110" s="4"/>
    </row>
    <row r="111" customFormat="false" ht="15" hidden="false" customHeight="false" outlineLevel="0" collapsed="false">
      <c r="B111" s="5" t="s">
        <v>537</v>
      </c>
    </row>
    <row r="112" customFormat="false" ht="15" hidden="false" customHeight="false" outlineLevel="0" collapsed="false">
      <c r="B112" s="4" t="s">
        <v>538</v>
      </c>
    </row>
    <row r="113" customFormat="false" ht="15" hidden="false" customHeight="false" outlineLevel="0" collapsed="false">
      <c r="B113" s="4" t="s">
        <v>539</v>
      </c>
    </row>
    <row r="114" customFormat="false" ht="15" hidden="false" customHeight="false" outlineLevel="0" collapsed="false">
      <c r="B114" s="4" t="s">
        <v>540</v>
      </c>
    </row>
    <row r="120" customFormat="false" ht="15" hidden="false" customHeight="false" outlineLevel="0" collapsed="false">
      <c r="B120" s="7" t="s">
        <v>541</v>
      </c>
      <c r="C120" s="8"/>
      <c r="D120" s="8"/>
      <c r="E120" s="8"/>
      <c r="F120" s="8"/>
      <c r="G120" s="8"/>
      <c r="H120" s="8"/>
    </row>
    <row r="121" customFormat="false" ht="15" hidden="false" customHeight="false" outlineLevel="0" collapsed="false">
      <c r="B121" s="4" t="s">
        <v>542</v>
      </c>
      <c r="C121" s="12" t="n">
        <f aca="false">C5*C8</f>
        <v>2400</v>
      </c>
      <c r="D121" s="2" t="s">
        <v>349</v>
      </c>
      <c r="H121" s="2" t="s">
        <v>543</v>
      </c>
    </row>
    <row r="122" customFormat="false" ht="15" hidden="false" customHeight="false" outlineLevel="0" collapsed="false">
      <c r="B122" s="4" t="s">
        <v>544</v>
      </c>
      <c r="C122" s="12" t="n">
        <f aca="false">IFERROR(C9/(C6/100),0)</f>
        <v>1209.375</v>
      </c>
      <c r="D122" s="2" t="s">
        <v>349</v>
      </c>
      <c r="H122" s="2" t="s">
        <v>545</v>
      </c>
    </row>
    <row r="123" customFormat="false" ht="15" hidden="false" customHeight="false" outlineLevel="0" collapsed="false">
      <c r="B123" s="4" t="s">
        <v>546</v>
      </c>
      <c r="C123" s="12" t="n">
        <f aca="false">MAX(0,C121-C122)</f>
        <v>1190.625</v>
      </c>
      <c r="D123" s="2" t="s">
        <v>349</v>
      </c>
      <c r="H123" s="2" t="s">
        <v>547</v>
      </c>
    </row>
    <row r="124" customFormat="false" ht="15" hidden="false" customHeight="false" outlineLevel="0" collapsed="false">
      <c r="B124" s="4" t="s">
        <v>548</v>
      </c>
      <c r="C124" s="30" t="n">
        <f aca="false">IFERROR(C122/C121,0)</f>
        <v>0.50390625</v>
      </c>
      <c r="D124" s="2"/>
      <c r="H124" s="2" t="s">
        <v>549</v>
      </c>
    </row>
    <row r="125" customFormat="false" ht="15" hidden="false" customHeight="false" outlineLevel="0" collapsed="false">
      <c r="B125" s="4" t="s">
        <v>550</v>
      </c>
      <c r="C125" s="29" t="n">
        <f aca="false">IFERROR(C123/ENTRADAS!C61,0)</f>
        <v>74.4140625</v>
      </c>
      <c r="D125" s="2" t="s">
        <v>551</v>
      </c>
      <c r="H125" s="2" t="s">
        <v>552</v>
      </c>
    </row>
    <row r="126" customFormat="false" ht="15" hidden="false" customHeight="false" outlineLevel="0" collapsed="false">
      <c r="B126" s="21" t="s">
        <v>553</v>
      </c>
      <c r="C126" s="35" t="n">
        <f aca="false">C125*ENTRADAS!C62</f>
        <v>461.3671875</v>
      </c>
      <c r="D126" s="2" t="s">
        <v>128</v>
      </c>
      <c r="H126" s="2" t="s">
        <v>554</v>
      </c>
    </row>
    <row r="128" customFormat="false" ht="15" hidden="false" customHeight="false" outlineLevel="0" collapsed="false">
      <c r="B128" s="4" t="s">
        <v>555</v>
      </c>
      <c r="C128" s="12" t="n">
        <f aca="false">C121*C6/100/ENTRADAS!C45</f>
        <v>446.511627906977</v>
      </c>
      <c r="D128" s="2" t="s">
        <v>108</v>
      </c>
      <c r="H128" s="2" t="s">
        <v>556</v>
      </c>
    </row>
    <row r="129" customFormat="false" ht="15" hidden="false" customHeight="false" outlineLevel="0" collapsed="false">
      <c r="B129" s="4" t="s">
        <v>557</v>
      </c>
      <c r="C129" s="12" t="n">
        <f aca="false">C128-C13</f>
        <v>221.511627906977</v>
      </c>
      <c r="D129" s="2" t="s">
        <v>108</v>
      </c>
      <c r="H129" s="2" t="s">
        <v>558</v>
      </c>
    </row>
    <row r="130" customFormat="false" ht="15" hidden="false" customHeight="false" outlineLevel="0" collapsed="false">
      <c r="B130" s="4" t="s">
        <v>559</v>
      </c>
      <c r="C130" s="15" t="n">
        <f aca="false">C129*ENTRADAS!C25</f>
        <v>47.5618248837209</v>
      </c>
      <c r="D130" s="2" t="s">
        <v>128</v>
      </c>
      <c r="H130" s="2" t="s">
        <v>560</v>
      </c>
    </row>
    <row r="131" customFormat="false" ht="15" hidden="false" customHeight="false" outlineLevel="0" collapsed="false">
      <c r="B131" s="4" t="s">
        <v>561</v>
      </c>
      <c r="C131" s="65" t="n">
        <f aca="false">C126-C130</f>
        <v>413.805362616279</v>
      </c>
      <c r="D131" s="2" t="s">
        <v>128</v>
      </c>
      <c r="H131" s="2" t="s">
        <v>562</v>
      </c>
    </row>
    <row r="132" customFormat="false" ht="15" hidden="false" customHeight="false" outlineLevel="0" collapsed="false">
      <c r="B132" s="4" t="s">
        <v>563</v>
      </c>
      <c r="C132" s="15" t="n">
        <f aca="false">C131*12</f>
        <v>4965.66435139535</v>
      </c>
      <c r="D132" s="2" t="s">
        <v>146</v>
      </c>
      <c r="H132" s="2"/>
    </row>
    <row r="134" customFormat="false" ht="15" hidden="false" customHeight="false" outlineLevel="0" collapsed="false">
      <c r="B134" s="4" t="s">
        <v>564</v>
      </c>
      <c r="C134" s="29" t="n">
        <f aca="false">IFERROR(C129*12/GERACAO!$I$17,0)</f>
        <v>2.10251105215447</v>
      </c>
      <c r="D134" s="2" t="s">
        <v>565</v>
      </c>
      <c r="H134" s="2" t="s">
        <v>566</v>
      </c>
    </row>
    <row r="135" customFormat="false" ht="15" hidden="false" customHeight="false" outlineLevel="0" collapsed="false">
      <c r="B135" s="4" t="s">
        <v>567</v>
      </c>
      <c r="C135" s="12" t="n">
        <f aca="false">IFERROR(ROUNDUP(C134*1000/650,0),0)</f>
        <v>4</v>
      </c>
      <c r="D135" s="2" t="s">
        <v>568</v>
      </c>
      <c r="H135" s="2"/>
    </row>
    <row r="136" customFormat="false" ht="15" hidden="false" customHeight="false" outlineLevel="0" collapsed="false">
      <c r="B136" s="4" t="s">
        <v>569</v>
      </c>
      <c r="C136" s="15" t="n">
        <f aca="false">C135*ENTRADAS!C54</f>
        <v>3600</v>
      </c>
      <c r="D136" s="2" t="s">
        <v>134</v>
      </c>
      <c r="H136" s="2" t="s">
        <v>570</v>
      </c>
    </row>
    <row r="137" customFormat="false" ht="15" hidden="false" customHeight="false" outlineLevel="0" collapsed="false">
      <c r="B137" s="21" t="s">
        <v>571</v>
      </c>
      <c r="C137" s="66" t="n">
        <f aca="false">IFERROR(C136/C131,0)</f>
        <v>8.69974225862866</v>
      </c>
      <c r="D137" s="2" t="s">
        <v>572</v>
      </c>
      <c r="H137" s="2" t="s">
        <v>573</v>
      </c>
    </row>
    <row r="139" customFormat="false" ht="15" hidden="false" customHeight="false" outlineLevel="0" collapsed="false">
      <c r="B139" s="3" t="s">
        <v>574</v>
      </c>
    </row>
    <row r="140" customFormat="false" ht="15" hidden="false" customHeight="false" outlineLevel="0" collapsed="false">
      <c r="B140" s="4" t="s">
        <v>575</v>
      </c>
    </row>
    <row r="141" customFormat="false" ht="15" hidden="false" customHeight="false" outlineLevel="0" collapsed="false">
      <c r="B141" s="4" t="s">
        <v>576</v>
      </c>
    </row>
    <row r="142" customFormat="false" ht="15" hidden="false" customHeight="false" outlineLevel="0" collapsed="false">
      <c r="B142" s="4"/>
    </row>
    <row r="143" customFormat="false" ht="15" hidden="false" customHeight="false" outlineLevel="0" collapsed="false">
      <c r="B143" s="4" t="s">
        <v>577</v>
      </c>
    </row>
    <row r="144" customFormat="false" ht="15" hidden="false" customHeight="false" outlineLevel="0" collapsed="false">
      <c r="B144" s="4" t="s">
        <v>578</v>
      </c>
    </row>
    <row r="145" customFormat="false" ht="15" hidden="false" customHeight="false" outlineLevel="0" collapsed="false">
      <c r="B145" s="4" t="s">
        <v>579</v>
      </c>
    </row>
    <row r="146" customFormat="false" ht="15" hidden="false" customHeight="false" outlineLevel="0" collapsed="false">
      <c r="B146" s="4"/>
    </row>
    <row r="147" customFormat="false" ht="15" hidden="false" customHeight="false" outlineLevel="0" collapsed="false">
      <c r="B147" s="5" t="s">
        <v>580</v>
      </c>
    </row>
    <row r="148" customFormat="false" ht="15" hidden="false" customHeight="false" outlineLevel="0" collapsed="false">
      <c r="B148" s="4" t="s">
        <v>581</v>
      </c>
    </row>
    <row r="149" customFormat="false" ht="15" hidden="false" customHeight="false" outlineLevel="0" collapsed="false">
      <c r="B149" s="4" t="s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5" min="3" style="0" width="16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583</v>
      </c>
    </row>
    <row r="2" customFormat="false" ht="15" hidden="false" customHeight="false" outlineLevel="0" collapsed="false">
      <c r="A2" s="2" t="s">
        <v>584</v>
      </c>
    </row>
    <row r="4" customFormat="false" ht="15" hidden="false" customHeight="false" outlineLevel="0" collapsed="false">
      <c r="B4" s="7" t="s">
        <v>585</v>
      </c>
      <c r="C4" s="8"/>
      <c r="D4" s="8"/>
      <c r="E4" s="8"/>
      <c r="F4" s="8"/>
    </row>
    <row r="5" customFormat="false" ht="15" hidden="false" customHeight="false" outlineLevel="0" collapsed="false">
      <c r="B5" s="4" t="s">
        <v>586</v>
      </c>
      <c r="C5" s="46" t="n">
        <f aca="false">GERACAO!I17</f>
        <v>1264.268995</v>
      </c>
      <c r="D5" s="2" t="s">
        <v>587</v>
      </c>
    </row>
    <row r="6" customFormat="false" ht="15" hidden="false" customHeight="false" outlineLevel="0" collapsed="false">
      <c r="B6" s="4" t="s">
        <v>588</v>
      </c>
      <c r="C6" s="29" t="n">
        <f aca="false">C5/12</f>
        <v>105.355749583333</v>
      </c>
      <c r="D6" s="2" t="s">
        <v>589</v>
      </c>
    </row>
    <row r="7" customFormat="false" ht="15" hidden="false" customHeight="false" outlineLevel="0" collapsed="false">
      <c r="B7" s="4" t="s">
        <v>590</v>
      </c>
      <c r="C7" s="4" t="str">
        <f aca="false">"kWp necessario = consumo anual / "&amp;TEXT(C5,"0")&amp;" kWh por kWp"</f>
        <v>kWp necessario = consumo anual / 1264 kWh por kWp</v>
      </c>
      <c r="D7" s="2"/>
    </row>
    <row r="9" customFormat="false" ht="15" hidden="false" customHeight="false" outlineLevel="0" collapsed="false">
      <c r="B9" s="7" t="s">
        <v>591</v>
      </c>
      <c r="C9" s="8"/>
      <c r="D9" s="8"/>
      <c r="E9" s="8"/>
      <c r="F9" s="8"/>
    </row>
    <row r="10" customFormat="false" ht="15" hidden="false" customHeight="false" outlineLevel="0" collapsed="false">
      <c r="B10" s="17" t="s">
        <v>440</v>
      </c>
      <c r="C10" s="17" t="s">
        <v>592</v>
      </c>
      <c r="D10" s="17" t="s">
        <v>593</v>
      </c>
      <c r="E10" s="17" t="s">
        <v>594</v>
      </c>
      <c r="F10" s="17" t="s">
        <v>595</v>
      </c>
    </row>
    <row r="11" customFormat="false" ht="15" hidden="false" customHeight="false" outlineLevel="0" collapsed="false">
      <c r="B11" s="18" t="s">
        <v>596</v>
      </c>
      <c r="C11" s="32" t="n">
        <f aca="false">BYD!F33</f>
        <v>351.82709306637</v>
      </c>
      <c r="D11" s="39" t="n">
        <f aca="false">C11*12</f>
        <v>4221.92511679644</v>
      </c>
      <c r="E11" s="19" t="n">
        <f aca="false">IFERROR(D11/$C$5,0)</f>
        <v>3.33941996006668</v>
      </c>
      <c r="F11" s="39" t="n">
        <f aca="false">IFERROR(ROUNDUP(E11*1000/615,0),0)</f>
        <v>6</v>
      </c>
    </row>
    <row r="12" customFormat="false" ht="15" hidden="false" customHeight="false" outlineLevel="0" collapsed="false">
      <c r="B12" s="18" t="s">
        <v>597</v>
      </c>
      <c r="C12" s="32" t="n">
        <f aca="false">BYD!F34</f>
        <v>576.82709306637</v>
      </c>
      <c r="D12" s="39" t="n">
        <f aca="false">C12*12</f>
        <v>6921.92511679644</v>
      </c>
      <c r="E12" s="19" t="n">
        <f aca="false">IFERROR(D12/$C$5,0)</f>
        <v>5.47504142249129</v>
      </c>
      <c r="F12" s="39" t="n">
        <f aca="false">IFERROR(ROUNDUP(E12*1000/615,0),0)</f>
        <v>9</v>
      </c>
    </row>
    <row r="13" customFormat="false" ht="15" hidden="false" customHeight="false" outlineLevel="0" collapsed="false">
      <c r="B13" s="51" t="s">
        <v>598</v>
      </c>
      <c r="C13" s="32" t="n">
        <f aca="false">BYD!F35</f>
        <v>663.351157026326</v>
      </c>
      <c r="D13" s="39" t="n">
        <f aca="false">C13*12</f>
        <v>7960.21388431591</v>
      </c>
      <c r="E13" s="67" t="n">
        <f aca="false">IFERROR(D13/$C$5,0)</f>
        <v>6.29629763586499</v>
      </c>
      <c r="F13" s="39" t="n">
        <f aca="false">IFERROR(ROUNDUP(E13*1000/615,0),0)</f>
        <v>11</v>
      </c>
    </row>
    <row r="15" customFormat="false" ht="15" hidden="false" customHeight="false" outlineLevel="0" collapsed="false">
      <c r="B15" s="7" t="s">
        <v>599</v>
      </c>
      <c r="C15" s="8"/>
      <c r="D15" s="8"/>
      <c r="E15" s="8"/>
      <c r="F15" s="8"/>
    </row>
    <row r="16" customFormat="false" ht="23.85" hidden="false" customHeight="false" outlineLevel="0" collapsed="false">
      <c r="B16" s="17"/>
      <c r="C16" s="17" t="s">
        <v>600</v>
      </c>
      <c r="D16" s="17" t="s">
        <v>601</v>
      </c>
      <c r="E16" s="17" t="s">
        <v>602</v>
      </c>
    </row>
    <row r="17" customFormat="false" ht="23.85" hidden="false" customHeight="false" outlineLevel="0" collapsed="false">
      <c r="B17" s="4" t="s">
        <v>603</v>
      </c>
      <c r="C17" s="68" t="str">
        <f aca="false">"100% do Cenario 2"</f>
        <v>100% do Cenario 2</v>
      </c>
      <c r="D17" s="68" t="str">
        <f aca="false">"105% do Cenario 3"</f>
        <v>105% do Cenario 3</v>
      </c>
      <c r="E17" s="68" t="str">
        <f aca="false">"Cenario 3 + folga para dobrar a km do carro"</f>
        <v>Cenario 3 + folga para dobrar a km do carro</v>
      </c>
    </row>
    <row r="18" customFormat="false" ht="15" hidden="false" customHeight="false" outlineLevel="0" collapsed="false">
      <c r="B18" s="4" t="s">
        <v>604</v>
      </c>
      <c r="C18" s="69" t="n">
        <f aca="false">E12</f>
        <v>5.47504142249129</v>
      </c>
      <c r="D18" s="69" t="n">
        <f aca="false">E13*1.05</f>
        <v>6.61111251765824</v>
      </c>
      <c r="E18" s="69" t="n">
        <f aca="false">E13*1.25</f>
        <v>7.87037204483124</v>
      </c>
    </row>
    <row r="19" customFormat="false" ht="15" hidden="false" customHeight="false" outlineLevel="0" collapsed="false">
      <c r="B19" s="4" t="s">
        <v>605</v>
      </c>
      <c r="C19" s="70" t="n">
        <f aca="false">ROUNDUP(C18*1000/615,0)</f>
        <v>9</v>
      </c>
      <c r="D19" s="70" t="n">
        <f aca="false">ROUNDUP(D18*1000/615,0)</f>
        <v>11</v>
      </c>
      <c r="E19" s="70" t="n">
        <f aca="false">ROUNDUP(E18*1000/615,0)</f>
        <v>13</v>
      </c>
    </row>
    <row r="20" customFormat="false" ht="15" hidden="false" customHeight="false" outlineLevel="0" collapsed="false">
      <c r="B20" s="4" t="s">
        <v>606</v>
      </c>
      <c r="C20" s="71" t="n">
        <f aca="false">C19*615/1000</f>
        <v>5.535</v>
      </c>
      <c r="D20" s="71" t="n">
        <f aca="false">D19*615/1000</f>
        <v>6.765</v>
      </c>
      <c r="E20" s="71" t="n">
        <f aca="false">E19*615/1000</f>
        <v>7.995</v>
      </c>
    </row>
    <row r="21" customFormat="false" ht="15" hidden="false" customHeight="false" outlineLevel="0" collapsed="false">
      <c r="B21" s="4" t="s">
        <v>607</v>
      </c>
      <c r="C21" s="69" t="n">
        <f aca="false">5</f>
        <v>5</v>
      </c>
      <c r="D21" s="69" t="n">
        <f aca="false">6</f>
        <v>6</v>
      </c>
      <c r="E21" s="69" t="n">
        <f aca="false">7.5</f>
        <v>7.5</v>
      </c>
    </row>
    <row r="22" customFormat="false" ht="15" hidden="false" customHeight="false" outlineLevel="0" collapsed="false">
      <c r="B22" s="4" t="s">
        <v>608</v>
      </c>
      <c r="C22" s="72" t="n">
        <f aca="false">IFERROR(C20/C21,0)</f>
        <v>1.107</v>
      </c>
      <c r="D22" s="72" t="n">
        <f aca="false">IFERROR(D20/D21,0)</f>
        <v>1.1275</v>
      </c>
      <c r="E22" s="72" t="n">
        <f aca="false">IFERROR(E20/E21,0)</f>
        <v>1.066</v>
      </c>
    </row>
    <row r="23" customFormat="false" ht="15" hidden="false" customHeight="false" outlineLevel="0" collapsed="false">
      <c r="B23" s="4" t="s">
        <v>609</v>
      </c>
      <c r="C23" s="70" t="n">
        <f aca="false">C20*$C$5</f>
        <v>6997.728887325</v>
      </c>
      <c r="D23" s="70" t="n">
        <f aca="false">D20*$C$5</f>
        <v>8552.779751175</v>
      </c>
      <c r="E23" s="70" t="n">
        <f aca="false">E20*$C$5</f>
        <v>10107.830615025</v>
      </c>
    </row>
    <row r="24" customFormat="false" ht="15" hidden="false" customHeight="false" outlineLevel="0" collapsed="false">
      <c r="B24" s="4" t="s">
        <v>610</v>
      </c>
      <c r="C24" s="70" t="n">
        <f aca="false">C23/12</f>
        <v>583.14407394375</v>
      </c>
      <c r="D24" s="70" t="n">
        <f aca="false">D23/12</f>
        <v>712.73164593125</v>
      </c>
      <c r="E24" s="70" t="n">
        <f aca="false">E23/12</f>
        <v>842.31921791875</v>
      </c>
    </row>
    <row r="25" customFormat="false" ht="15" hidden="false" customHeight="false" outlineLevel="0" collapsed="false">
      <c r="B25" s="4" t="s">
        <v>611</v>
      </c>
      <c r="C25" s="73" t="n">
        <f aca="false">IFERROR(C23/$D$12,0)</f>
        <v>1.01095125550327</v>
      </c>
      <c r="D25" s="73" t="n">
        <f aca="false">IFERROR(D23/$D$12,0)</f>
        <v>1.23560709005956</v>
      </c>
      <c r="E25" s="73" t="n">
        <f aca="false">IFERROR(E23/$D$12,0)</f>
        <v>1.46026292461584</v>
      </c>
    </row>
    <row r="26" customFormat="false" ht="15" hidden="false" customHeight="false" outlineLevel="0" collapsed="false">
      <c r="B26" s="4" t="s">
        <v>612</v>
      </c>
      <c r="C26" s="74" t="n">
        <f aca="false">IFERROR(C23/$D$13,0)</f>
        <v>0.879088048263716</v>
      </c>
      <c r="D26" s="75" t="n">
        <f aca="false">IFERROR(D23/$D$13,0)</f>
        <v>1.07444094787787</v>
      </c>
      <c r="E26" s="74" t="n">
        <f aca="false">IFERROR(E23/$D$13,0)</f>
        <v>1.26979384749203</v>
      </c>
    </row>
    <row r="27" customFormat="false" ht="15" hidden="false" customHeight="false" outlineLevel="0" collapsed="false">
      <c r="B27" s="4" t="s">
        <v>613</v>
      </c>
      <c r="C27" s="70" t="n">
        <f aca="false">MAX(0,C23-$D$13)</f>
        <v>0</v>
      </c>
      <c r="D27" s="70" t="n">
        <f aca="false">MAX(0,D23-$D$13)</f>
        <v>592.565866859095</v>
      </c>
      <c r="E27" s="70" t="n">
        <f aca="false">MAX(0,E23-$D$13)</f>
        <v>2147.61673070909</v>
      </c>
    </row>
    <row r="30" customFormat="false" ht="15" hidden="false" customHeight="false" outlineLevel="0" collapsed="false">
      <c r="B30" s="3" t="s">
        <v>614</v>
      </c>
    </row>
    <row r="31" customFormat="false" ht="15" hidden="false" customHeight="false" outlineLevel="0" collapsed="false">
      <c r="B31" s="4" t="s">
        <v>615</v>
      </c>
    </row>
    <row r="32" customFormat="false" ht="15" hidden="false" customHeight="false" outlineLevel="0" collapsed="false">
      <c r="B32" s="4" t="s">
        <v>616</v>
      </c>
    </row>
    <row r="33" customFormat="false" ht="15" hidden="false" customHeight="false" outlineLevel="0" collapsed="false">
      <c r="B33" s="4" t="s">
        <v>617</v>
      </c>
    </row>
    <row r="34" customFormat="false" ht="15" hidden="false" customHeight="false" outlineLevel="0" collapsed="false">
      <c r="B34" s="4" t="s">
        <v>618</v>
      </c>
    </row>
    <row r="35" customFormat="false" ht="15" hidden="false" customHeight="false" outlineLevel="0" collapsed="false">
      <c r="B35" s="4" t="s">
        <v>619</v>
      </c>
    </row>
    <row r="36" customFormat="false" ht="15" hidden="false" customHeight="false" outlineLevel="0" collapsed="false">
      <c r="B36" s="4" t="s">
        <v>620</v>
      </c>
    </row>
    <row r="37" customFormat="false" ht="15" hidden="false" customHeight="false" outlineLevel="0" collapsed="false">
      <c r="B37" s="4" t="s">
        <v>621</v>
      </c>
    </row>
    <row r="38" customFormat="false" ht="15" hidden="false" customHeight="false" outlineLevel="0" collapsed="false">
      <c r="B38" s="4" t="s">
        <v>622</v>
      </c>
    </row>
    <row r="39" customFormat="false" ht="15" hidden="false" customHeight="false" outlineLevel="0" collapsed="false">
      <c r="B39" s="4" t="s">
        <v>623</v>
      </c>
    </row>
    <row r="40" customFormat="false" ht="15" hidden="false" customHeight="false" outlineLevel="0" collapsed="false">
      <c r="B40" s="4"/>
    </row>
    <row r="41" customFormat="false" ht="15" hidden="false" customHeight="false" outlineLevel="0" collapsed="false">
      <c r="B41" s="5" t="s">
        <v>624</v>
      </c>
    </row>
    <row r="42" customFormat="false" ht="15" hidden="false" customHeight="false" outlineLevel="0" collapsed="false">
      <c r="B42" s="4" t="s">
        <v>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15" min="3" style="0" width="17"/>
    <col collapsed="false" customWidth="true" hidden="false" outlineLevel="0" max="16" min="16" style="0" width="62"/>
  </cols>
  <sheetData>
    <row r="1" customFormat="false" ht="17.35" hidden="false" customHeight="false" outlineLevel="0" collapsed="false">
      <c r="A1" s="1" t="s">
        <v>626</v>
      </c>
    </row>
    <row r="2" customFormat="false" ht="15" hidden="false" customHeight="false" outlineLevel="0" collapsed="false">
      <c r="A2" s="2" t="s">
        <v>627</v>
      </c>
    </row>
    <row r="4" customFormat="false" ht="51.75" hidden="false" customHeight="true" outlineLevel="0" collapsed="false">
      <c r="B4" s="17" t="s">
        <v>628</v>
      </c>
      <c r="C4" s="17" t="s">
        <v>629</v>
      </c>
      <c r="D4" s="17" t="s">
        <v>630</v>
      </c>
      <c r="E4" s="17" t="s">
        <v>631</v>
      </c>
      <c r="F4" s="17" t="s">
        <v>632</v>
      </c>
      <c r="G4" s="17" t="s">
        <v>633</v>
      </c>
      <c r="H4" s="17" t="s">
        <v>634</v>
      </c>
      <c r="I4" s="17" t="s">
        <v>635</v>
      </c>
      <c r="J4" s="17" t="s">
        <v>636</v>
      </c>
      <c r="K4" s="17" t="s">
        <v>637</v>
      </c>
      <c r="L4" s="17" t="s">
        <v>638</v>
      </c>
      <c r="M4" s="17" t="s">
        <v>639</v>
      </c>
      <c r="N4" s="17" t="s">
        <v>640</v>
      </c>
      <c r="O4" s="17" t="s">
        <v>641</v>
      </c>
      <c r="P4" s="17" t="s">
        <v>642</v>
      </c>
    </row>
    <row r="5" customFormat="false" ht="35.05" hidden="false" customHeight="false" outlineLevel="0" collapsed="false">
      <c r="B5" s="76" t="s">
        <v>643</v>
      </c>
      <c r="C5" s="77" t="s">
        <v>644</v>
      </c>
      <c r="D5" s="77" t="s">
        <v>644</v>
      </c>
      <c r="E5" s="77" t="s">
        <v>645</v>
      </c>
      <c r="F5" s="77" t="s">
        <v>645</v>
      </c>
      <c r="G5" s="78" t="s">
        <v>646</v>
      </c>
      <c r="H5" s="77" t="s">
        <v>647</v>
      </c>
      <c r="I5" s="77" t="s">
        <v>645</v>
      </c>
      <c r="J5" s="77" t="s">
        <v>648</v>
      </c>
      <c r="K5" s="77" t="s">
        <v>647</v>
      </c>
      <c r="L5" s="77" t="s">
        <v>649</v>
      </c>
      <c r="M5" s="77" t="s">
        <v>650</v>
      </c>
      <c r="N5" s="77" t="s">
        <v>650</v>
      </c>
      <c r="O5" s="77" t="s">
        <v>651</v>
      </c>
      <c r="P5" s="79" t="s">
        <v>652</v>
      </c>
    </row>
    <row r="6" customFormat="false" ht="35.05" hidden="false" customHeight="false" outlineLevel="0" collapsed="false">
      <c r="B6" s="76" t="s">
        <v>653</v>
      </c>
      <c r="C6" s="77" t="s">
        <v>654</v>
      </c>
      <c r="D6" s="77" t="s">
        <v>654</v>
      </c>
      <c r="E6" s="77" t="s">
        <v>655</v>
      </c>
      <c r="F6" s="77" t="s">
        <v>655</v>
      </c>
      <c r="G6" s="77" t="s">
        <v>656</v>
      </c>
      <c r="H6" s="77" t="s">
        <v>657</v>
      </c>
      <c r="I6" s="77" t="s">
        <v>655</v>
      </c>
      <c r="J6" s="77" t="s">
        <v>658</v>
      </c>
      <c r="K6" s="77" t="s">
        <v>657</v>
      </c>
      <c r="L6" s="77" t="s">
        <v>659</v>
      </c>
      <c r="M6" s="77" t="s">
        <v>655</v>
      </c>
      <c r="N6" s="77" t="s">
        <v>655</v>
      </c>
      <c r="O6" s="77" t="s">
        <v>660</v>
      </c>
      <c r="P6" s="80" t="s">
        <v>661</v>
      </c>
    </row>
    <row r="7" customFormat="false" ht="23.85" hidden="false" customHeight="false" outlineLevel="0" collapsed="false">
      <c r="B7" s="76" t="s">
        <v>662</v>
      </c>
      <c r="C7" s="77" t="s">
        <v>663</v>
      </c>
      <c r="D7" s="77" t="s">
        <v>663</v>
      </c>
      <c r="E7" s="77" t="s">
        <v>664</v>
      </c>
      <c r="F7" s="77" t="s">
        <v>664</v>
      </c>
      <c r="G7" s="77" t="s">
        <v>665</v>
      </c>
      <c r="H7" s="77" t="s">
        <v>666</v>
      </c>
      <c r="I7" s="77" t="s">
        <v>664</v>
      </c>
      <c r="J7" s="77" t="s">
        <v>667</v>
      </c>
      <c r="K7" s="77" t="s">
        <v>666</v>
      </c>
      <c r="L7" s="77" t="s">
        <v>668</v>
      </c>
      <c r="M7" s="77" t="s">
        <v>664</v>
      </c>
      <c r="N7" s="77" t="s">
        <v>664</v>
      </c>
      <c r="O7" s="77" t="s">
        <v>669</v>
      </c>
      <c r="P7" s="80" t="s">
        <v>670</v>
      </c>
    </row>
    <row r="8" customFormat="false" ht="22.35" hidden="false" customHeight="false" outlineLevel="0" collapsed="false">
      <c r="B8" s="81" t="s">
        <v>671</v>
      </c>
      <c r="C8" s="82" t="s">
        <v>672</v>
      </c>
      <c r="D8" s="82" t="s">
        <v>672</v>
      </c>
      <c r="E8" s="78" t="s">
        <v>673</v>
      </c>
      <c r="F8" s="78" t="s">
        <v>673</v>
      </c>
      <c r="G8" s="78" t="s">
        <v>673</v>
      </c>
      <c r="H8" s="82" t="s">
        <v>674</v>
      </c>
      <c r="I8" s="78" t="s">
        <v>673</v>
      </c>
      <c r="J8" s="78" t="s">
        <v>675</v>
      </c>
      <c r="K8" s="82" t="s">
        <v>674</v>
      </c>
      <c r="L8" s="82" t="s">
        <v>676</v>
      </c>
      <c r="M8" s="78" t="s">
        <v>673</v>
      </c>
      <c r="N8" s="78" t="s">
        <v>673</v>
      </c>
      <c r="O8" s="82"/>
      <c r="P8" s="79" t="s">
        <v>677</v>
      </c>
    </row>
    <row r="9" customFormat="false" ht="35.05" hidden="false" customHeight="false" outlineLevel="0" collapsed="false">
      <c r="B9" s="81" t="s">
        <v>678</v>
      </c>
      <c r="C9" s="82" t="s">
        <v>679</v>
      </c>
      <c r="D9" s="82" t="s">
        <v>680</v>
      </c>
      <c r="E9" s="82" t="s">
        <v>681</v>
      </c>
      <c r="F9" s="82" t="s">
        <v>681</v>
      </c>
      <c r="G9" s="82" t="s">
        <v>682</v>
      </c>
      <c r="H9" s="82" t="s">
        <v>683</v>
      </c>
      <c r="I9" s="82" t="s">
        <v>684</v>
      </c>
      <c r="J9" s="82" t="s">
        <v>685</v>
      </c>
      <c r="K9" s="82" t="s">
        <v>686</v>
      </c>
      <c r="L9" s="82" t="s">
        <v>687</v>
      </c>
      <c r="M9" s="82" t="s">
        <v>688</v>
      </c>
      <c r="N9" s="82" t="s">
        <v>689</v>
      </c>
      <c r="O9" s="82" t="s">
        <v>690</v>
      </c>
      <c r="P9" s="79" t="s">
        <v>691</v>
      </c>
    </row>
    <row r="10" customFormat="false" ht="22.35" hidden="false" customHeight="false" outlineLevel="0" collapsed="false">
      <c r="B10" s="76" t="s">
        <v>692</v>
      </c>
      <c r="C10" s="83" t="s">
        <v>693</v>
      </c>
      <c r="D10" s="83" t="s">
        <v>693</v>
      </c>
      <c r="E10" s="83" t="s">
        <v>694</v>
      </c>
      <c r="F10" s="83" t="s">
        <v>694</v>
      </c>
      <c r="G10" s="83" t="s">
        <v>694</v>
      </c>
      <c r="H10" s="83" t="s">
        <v>694</v>
      </c>
      <c r="I10" s="83" t="s">
        <v>694</v>
      </c>
      <c r="J10" s="83" t="s">
        <v>694</v>
      </c>
      <c r="K10" s="83" t="s">
        <v>694</v>
      </c>
      <c r="L10" s="83" t="s">
        <v>694</v>
      </c>
      <c r="M10" s="83" t="s">
        <v>694</v>
      </c>
      <c r="N10" s="83" t="s">
        <v>694</v>
      </c>
      <c r="O10" s="83" t="s">
        <v>695</v>
      </c>
      <c r="P10" s="79" t="s">
        <v>696</v>
      </c>
    </row>
    <row r="11" customFormat="false" ht="15" hidden="false" customHeight="false" outlineLevel="0" collapsed="false">
      <c r="B11" s="81" t="s">
        <v>697</v>
      </c>
      <c r="C11" s="84" t="n">
        <v>12</v>
      </c>
      <c r="D11" s="84" t="n">
        <v>12</v>
      </c>
      <c r="E11" s="84" t="n">
        <v>10</v>
      </c>
      <c r="F11" s="84" t="n">
        <v>10</v>
      </c>
      <c r="G11" s="84" t="n">
        <v>10</v>
      </c>
      <c r="H11" s="84" t="n">
        <v>8</v>
      </c>
      <c r="I11" s="84" t="n">
        <v>10</v>
      </c>
      <c r="J11" s="84" t="n">
        <v>10</v>
      </c>
      <c r="K11" s="84" t="n">
        <v>11</v>
      </c>
      <c r="L11" s="84" t="n">
        <v>10</v>
      </c>
      <c r="M11" s="84" t="n">
        <v>12</v>
      </c>
      <c r="N11" s="84" t="n">
        <v>14</v>
      </c>
      <c r="O11" s="85"/>
      <c r="P11" s="80" t="s">
        <v>698</v>
      </c>
    </row>
    <row r="12" customFormat="false" ht="15" hidden="false" customHeight="false" outlineLevel="0" collapsed="false">
      <c r="B12" s="81" t="s">
        <v>699</v>
      </c>
      <c r="C12" s="84" t="n">
        <v>615</v>
      </c>
      <c r="D12" s="84" t="n">
        <v>605</v>
      </c>
      <c r="E12" s="84" t="n">
        <v>620</v>
      </c>
      <c r="F12" s="84" t="n">
        <v>620</v>
      </c>
      <c r="G12" s="84" t="n">
        <v>535</v>
      </c>
      <c r="H12" s="84" t="n">
        <v>585</v>
      </c>
      <c r="I12" s="84" t="n">
        <v>650</v>
      </c>
      <c r="J12" s="84" t="n">
        <v>590</v>
      </c>
      <c r="K12" s="84" t="n">
        <v>620</v>
      </c>
      <c r="L12" s="84" t="n">
        <v>615</v>
      </c>
      <c r="M12" s="84" t="n">
        <v>650</v>
      </c>
      <c r="N12" s="84" t="n">
        <v>650</v>
      </c>
      <c r="O12" s="85"/>
      <c r="P12" s="80" t="s">
        <v>700</v>
      </c>
    </row>
    <row r="13" customFormat="false" ht="23.85" hidden="false" customHeight="false" outlineLevel="0" collapsed="false">
      <c r="B13" s="81" t="s">
        <v>701</v>
      </c>
      <c r="C13" s="82" t="s">
        <v>702</v>
      </c>
      <c r="D13" s="82" t="s">
        <v>703</v>
      </c>
      <c r="E13" s="82" t="s">
        <v>704</v>
      </c>
      <c r="F13" s="82" t="s">
        <v>704</v>
      </c>
      <c r="G13" s="82" t="s">
        <v>705</v>
      </c>
      <c r="H13" s="82" t="s">
        <v>706</v>
      </c>
      <c r="I13" s="82" t="s">
        <v>707</v>
      </c>
      <c r="J13" s="82" t="s">
        <v>708</v>
      </c>
      <c r="K13" s="82" t="s">
        <v>709</v>
      </c>
      <c r="L13" s="82" t="s">
        <v>710</v>
      </c>
      <c r="M13" s="82" t="s">
        <v>707</v>
      </c>
      <c r="N13" s="82" t="s">
        <v>707</v>
      </c>
      <c r="O13" s="82"/>
      <c r="P13" s="79" t="s">
        <v>711</v>
      </c>
    </row>
    <row r="14" customFormat="false" ht="15" hidden="false" customHeight="false" outlineLevel="0" collapsed="false">
      <c r="B14" s="76" t="s">
        <v>712</v>
      </c>
      <c r="C14" s="86" t="n">
        <f aca="false">C11*C12/1000</f>
        <v>7.38</v>
      </c>
      <c r="D14" s="86" t="n">
        <f aca="false">D11*D12/1000</f>
        <v>7.26</v>
      </c>
      <c r="E14" s="86" t="n">
        <f aca="false">E11*E12/1000</f>
        <v>6.2</v>
      </c>
      <c r="F14" s="86" t="n">
        <f aca="false">F11*F12/1000</f>
        <v>6.2</v>
      </c>
      <c r="G14" s="86" t="n">
        <f aca="false">G11*G12/1000</f>
        <v>5.35</v>
      </c>
      <c r="H14" s="86" t="n">
        <f aca="false">H11*H12/1000</f>
        <v>4.68</v>
      </c>
      <c r="I14" s="86" t="n">
        <f aca="false">I11*I12/1000</f>
        <v>6.5</v>
      </c>
      <c r="J14" s="86" t="n">
        <f aca="false">J11*J12/1000</f>
        <v>5.9</v>
      </c>
      <c r="K14" s="86" t="n">
        <f aca="false">K11*K12/1000</f>
        <v>6.82</v>
      </c>
      <c r="L14" s="86" t="n">
        <f aca="false">L11*L12/1000</f>
        <v>6.15</v>
      </c>
      <c r="M14" s="86" t="n">
        <f aca="false">M11*M12/1000</f>
        <v>7.8</v>
      </c>
      <c r="N14" s="86" t="n">
        <f aca="false">N11*N12/1000</f>
        <v>9.1</v>
      </c>
      <c r="O14" s="86"/>
      <c r="P14" s="80" t="s">
        <v>713</v>
      </c>
    </row>
    <row r="15" customFormat="false" ht="46.25" hidden="false" customHeight="false" outlineLevel="0" collapsed="false">
      <c r="B15" s="81" t="s">
        <v>714</v>
      </c>
      <c r="C15" s="82" t="s">
        <v>715</v>
      </c>
      <c r="D15" s="82" t="s">
        <v>715</v>
      </c>
      <c r="E15" s="82" t="s">
        <v>716</v>
      </c>
      <c r="F15" s="82" t="s">
        <v>717</v>
      </c>
      <c r="G15" s="82" t="s">
        <v>718</v>
      </c>
      <c r="H15" s="82" t="s">
        <v>719</v>
      </c>
      <c r="I15" s="82" t="s">
        <v>720</v>
      </c>
      <c r="J15" s="82" t="s">
        <v>721</v>
      </c>
      <c r="K15" s="82" t="s">
        <v>722</v>
      </c>
      <c r="L15" s="82" t="s">
        <v>723</v>
      </c>
      <c r="M15" s="82" t="s">
        <v>724</v>
      </c>
      <c r="N15" s="82" t="s">
        <v>725</v>
      </c>
      <c r="O15" s="82"/>
      <c r="P15" s="79" t="s">
        <v>726</v>
      </c>
    </row>
    <row r="16" customFormat="false" ht="15" hidden="false" customHeight="false" outlineLevel="0" collapsed="false">
      <c r="B16" s="81" t="s">
        <v>727</v>
      </c>
      <c r="C16" s="87" t="n">
        <v>6</v>
      </c>
      <c r="D16" s="87" t="n">
        <v>6</v>
      </c>
      <c r="E16" s="87" t="n">
        <v>5</v>
      </c>
      <c r="F16" s="87" t="n">
        <v>5</v>
      </c>
      <c r="G16" s="87" t="n">
        <v>4</v>
      </c>
      <c r="H16" s="87" t="n">
        <v>3</v>
      </c>
      <c r="I16" s="87" t="n">
        <v>9</v>
      </c>
      <c r="J16" s="87" t="n">
        <v>5</v>
      </c>
      <c r="K16" s="87" t="n">
        <v>7.5</v>
      </c>
      <c r="L16" s="87" t="n">
        <v>6</v>
      </c>
      <c r="M16" s="87" t="n">
        <v>9</v>
      </c>
      <c r="N16" s="87" t="n">
        <v>9</v>
      </c>
      <c r="O16" s="88"/>
      <c r="P16" s="80" t="s">
        <v>728</v>
      </c>
    </row>
    <row r="17" customFormat="false" ht="32.8" hidden="false" customHeight="false" outlineLevel="0" collapsed="false">
      <c r="B17" s="81" t="s">
        <v>729</v>
      </c>
      <c r="C17" s="82" t="s">
        <v>730</v>
      </c>
      <c r="D17" s="82" t="s">
        <v>730</v>
      </c>
      <c r="E17" s="82" t="s">
        <v>731</v>
      </c>
      <c r="F17" s="82" t="s">
        <v>731</v>
      </c>
      <c r="G17" s="82" t="s">
        <v>730</v>
      </c>
      <c r="H17" s="82" t="s">
        <v>732</v>
      </c>
      <c r="I17" s="82" t="s">
        <v>733</v>
      </c>
      <c r="J17" s="82" t="s">
        <v>734</v>
      </c>
      <c r="K17" s="82" t="s">
        <v>730</v>
      </c>
      <c r="L17" s="82" t="s">
        <v>735</v>
      </c>
      <c r="M17" s="82" t="s">
        <v>736</v>
      </c>
      <c r="N17" s="82" t="s">
        <v>737</v>
      </c>
      <c r="O17" s="82"/>
      <c r="P17" s="79" t="s">
        <v>738</v>
      </c>
    </row>
    <row r="18" customFormat="false" ht="32.8" hidden="false" customHeight="false" outlineLevel="0" collapsed="false">
      <c r="B18" s="76" t="s">
        <v>739</v>
      </c>
      <c r="C18" s="89" t="n">
        <f aca="false">IFERROR(C14/C16,0)</f>
        <v>1.23</v>
      </c>
      <c r="D18" s="89" t="n">
        <f aca="false">IFERROR(D14/D16,0)</f>
        <v>1.21</v>
      </c>
      <c r="E18" s="89" t="n">
        <f aca="false">IFERROR(E14/E16,0)</f>
        <v>1.24</v>
      </c>
      <c r="F18" s="89" t="n">
        <f aca="false">IFERROR(F14/F16,0)</f>
        <v>1.24</v>
      </c>
      <c r="G18" s="89" t="n">
        <f aca="false">IFERROR(G14/G16,0)</f>
        <v>1.3375</v>
      </c>
      <c r="H18" s="89" t="n">
        <f aca="false">IFERROR(H14/H16,0)</f>
        <v>1.56</v>
      </c>
      <c r="I18" s="89" t="n">
        <f aca="false">IFERROR(I14/I16,0)</f>
        <v>0.722222222222222</v>
      </c>
      <c r="J18" s="89" t="n">
        <f aca="false">IFERROR(J14/J16,0)</f>
        <v>1.18</v>
      </c>
      <c r="K18" s="89" t="n">
        <f aca="false">IFERROR(K14/K16,0)</f>
        <v>0.909333333333333</v>
      </c>
      <c r="L18" s="89" t="n">
        <f aca="false">IFERROR(L14/L16,0)</f>
        <v>1.025</v>
      </c>
      <c r="M18" s="89" t="n">
        <f aca="false">IFERROR(M14/M16,0)</f>
        <v>0.866666666666667</v>
      </c>
      <c r="N18" s="89" t="n">
        <f aca="false">IFERROR(N14/N16,0)</f>
        <v>1.01111111111111</v>
      </c>
      <c r="O18" s="89"/>
      <c r="P18" s="79" t="s">
        <v>740</v>
      </c>
    </row>
    <row r="19" customFormat="false" ht="22.35" hidden="false" customHeight="false" outlineLevel="0" collapsed="false">
      <c r="B19" s="81" t="s">
        <v>741</v>
      </c>
      <c r="C19" s="90" t="s">
        <v>742</v>
      </c>
      <c r="D19" s="90" t="s">
        <v>742</v>
      </c>
      <c r="E19" s="90" t="s">
        <v>743</v>
      </c>
      <c r="F19" s="90" t="s">
        <v>743</v>
      </c>
      <c r="G19" s="90" t="s">
        <v>742</v>
      </c>
      <c r="H19" s="90" t="s">
        <v>742</v>
      </c>
      <c r="I19" s="90" t="s">
        <v>743</v>
      </c>
      <c r="J19" s="90" t="s">
        <v>743</v>
      </c>
      <c r="K19" s="90" t="s">
        <v>742</v>
      </c>
      <c r="L19" s="90" t="s">
        <v>742</v>
      </c>
      <c r="M19" s="90" t="s">
        <v>743</v>
      </c>
      <c r="N19" s="90" t="s">
        <v>743</v>
      </c>
      <c r="O19" s="90"/>
      <c r="P19" s="79" t="s">
        <v>744</v>
      </c>
    </row>
    <row r="20" customFormat="false" ht="32.8" hidden="false" customHeight="false" outlineLevel="0" collapsed="false">
      <c r="B20" s="81" t="s">
        <v>745</v>
      </c>
      <c r="C20" s="82" t="s">
        <v>746</v>
      </c>
      <c r="D20" s="82" t="s">
        <v>746</v>
      </c>
      <c r="E20" s="78" t="s">
        <v>747</v>
      </c>
      <c r="F20" s="78" t="s">
        <v>747</v>
      </c>
      <c r="G20" s="82" t="s">
        <v>748</v>
      </c>
      <c r="H20" s="82" t="s">
        <v>748</v>
      </c>
      <c r="I20" s="78" t="s">
        <v>747</v>
      </c>
      <c r="J20" s="82" t="s">
        <v>749</v>
      </c>
      <c r="K20" s="82" t="s">
        <v>748</v>
      </c>
      <c r="L20" s="78" t="s">
        <v>747</v>
      </c>
      <c r="M20" s="78" t="s">
        <v>747</v>
      </c>
      <c r="N20" s="78" t="s">
        <v>747</v>
      </c>
      <c r="O20" s="82"/>
      <c r="P20" s="79" t="s">
        <v>750</v>
      </c>
    </row>
    <row r="21" customFormat="false" ht="19.4" hidden="false" customHeight="false" outlineLevel="0" collapsed="false">
      <c r="B21" s="81" t="s">
        <v>751</v>
      </c>
      <c r="C21" s="88" t="n">
        <f aca="false">C11*C12*0.00452</f>
        <v>33.3576</v>
      </c>
      <c r="D21" s="88" t="n">
        <f aca="false">D11*D12*0.00452</f>
        <v>32.8152</v>
      </c>
      <c r="E21" s="88" t="n">
        <f aca="false">E11*E12*0.00452</f>
        <v>28.024</v>
      </c>
      <c r="F21" s="88" t="n">
        <f aca="false">F11*F12*0.00452</f>
        <v>28.024</v>
      </c>
      <c r="G21" s="88" t="n">
        <f aca="false">G11*G12*0.00452</f>
        <v>24.182</v>
      </c>
      <c r="H21" s="88" t="n">
        <v>21.12</v>
      </c>
      <c r="I21" s="88" t="n">
        <f aca="false">I11*I12*0.00452</f>
        <v>29.38</v>
      </c>
      <c r="J21" s="88" t="n">
        <v>28</v>
      </c>
      <c r="K21" s="88" t="n">
        <v>30.58</v>
      </c>
      <c r="L21" s="88" t="n">
        <v>32.41</v>
      </c>
      <c r="M21" s="88" t="n">
        <f aca="false">M11*M12*0.00452</f>
        <v>35.256</v>
      </c>
      <c r="N21" s="88" t="n">
        <f aca="false">N11*N12*0.00452</f>
        <v>41.132</v>
      </c>
      <c r="O21" s="88"/>
      <c r="P21" s="80" t="s">
        <v>752</v>
      </c>
    </row>
    <row r="22" customFormat="false" ht="46.25" hidden="false" customHeight="false" outlineLevel="0" collapsed="false">
      <c r="B22" s="81" t="s">
        <v>753</v>
      </c>
      <c r="C22" s="78" t="s">
        <v>747</v>
      </c>
      <c r="D22" s="78" t="s">
        <v>747</v>
      </c>
      <c r="E22" s="78" t="s">
        <v>747</v>
      </c>
      <c r="F22" s="78" t="s">
        <v>747</v>
      </c>
      <c r="G22" s="78" t="s">
        <v>747</v>
      </c>
      <c r="H22" s="82" t="s">
        <v>754</v>
      </c>
      <c r="I22" s="82" t="s">
        <v>755</v>
      </c>
      <c r="J22" s="82" t="s">
        <v>756</v>
      </c>
      <c r="K22" s="82" t="s">
        <v>754</v>
      </c>
      <c r="L22" s="82" t="s">
        <v>757</v>
      </c>
      <c r="M22" s="82" t="s">
        <v>758</v>
      </c>
      <c r="N22" s="82" t="s">
        <v>758</v>
      </c>
      <c r="O22" s="82"/>
      <c r="P22" s="80" t="s">
        <v>759</v>
      </c>
    </row>
    <row r="23" customFormat="false" ht="35.05" hidden="false" customHeight="false" outlineLevel="0" collapsed="false">
      <c r="B23" s="81" t="s">
        <v>760</v>
      </c>
      <c r="C23" s="78" t="s">
        <v>747</v>
      </c>
      <c r="D23" s="78" t="s">
        <v>747</v>
      </c>
      <c r="E23" s="78" t="s">
        <v>747</v>
      </c>
      <c r="F23" s="78" t="s">
        <v>747</v>
      </c>
      <c r="G23" s="78" t="s">
        <v>747</v>
      </c>
      <c r="H23" s="82" t="s">
        <v>761</v>
      </c>
      <c r="I23" s="82" t="s">
        <v>762</v>
      </c>
      <c r="J23" s="82" t="s">
        <v>763</v>
      </c>
      <c r="K23" s="82" t="s">
        <v>761</v>
      </c>
      <c r="L23" s="82" t="s">
        <v>764</v>
      </c>
      <c r="M23" s="82" t="s">
        <v>765</v>
      </c>
      <c r="N23" s="82" t="s">
        <v>765</v>
      </c>
      <c r="O23" s="82"/>
      <c r="P23" s="80" t="s">
        <v>766</v>
      </c>
    </row>
    <row r="24" customFormat="false" ht="57.45" hidden="false" customHeight="false" outlineLevel="0" collapsed="false">
      <c r="B24" s="81" t="s">
        <v>767</v>
      </c>
      <c r="C24" s="78" t="s">
        <v>747</v>
      </c>
      <c r="D24" s="78" t="s">
        <v>747</v>
      </c>
      <c r="E24" s="78" t="s">
        <v>747</v>
      </c>
      <c r="F24" s="78" t="s">
        <v>747</v>
      </c>
      <c r="G24" s="78" t="s">
        <v>747</v>
      </c>
      <c r="H24" s="82" t="s">
        <v>768</v>
      </c>
      <c r="I24" s="78" t="s">
        <v>747</v>
      </c>
      <c r="J24" s="82" t="s">
        <v>769</v>
      </c>
      <c r="K24" s="82" t="s">
        <v>768</v>
      </c>
      <c r="L24" s="82" t="s">
        <v>770</v>
      </c>
      <c r="M24" s="82" t="s">
        <v>758</v>
      </c>
      <c r="N24" s="82" t="s">
        <v>758</v>
      </c>
      <c r="O24" s="82"/>
      <c r="P24" s="80" t="s">
        <v>771</v>
      </c>
    </row>
    <row r="25" customFormat="false" ht="46.25" hidden="false" customHeight="false" outlineLevel="0" collapsed="false">
      <c r="B25" s="81" t="s">
        <v>772</v>
      </c>
      <c r="C25" s="78" t="s">
        <v>773</v>
      </c>
      <c r="D25" s="78" t="s">
        <v>773</v>
      </c>
      <c r="E25" s="78" t="s">
        <v>773</v>
      </c>
      <c r="F25" s="78" t="s">
        <v>773</v>
      </c>
      <c r="G25" s="78" t="s">
        <v>773</v>
      </c>
      <c r="H25" s="78" t="s">
        <v>774</v>
      </c>
      <c r="I25" s="78" t="s">
        <v>773</v>
      </c>
      <c r="J25" s="82" t="s">
        <v>775</v>
      </c>
      <c r="K25" s="78" t="s">
        <v>774</v>
      </c>
      <c r="L25" s="82" t="s">
        <v>776</v>
      </c>
      <c r="M25" s="82" t="s">
        <v>758</v>
      </c>
      <c r="N25" s="82" t="s">
        <v>758</v>
      </c>
      <c r="O25" s="82"/>
      <c r="P25" s="79" t="s">
        <v>777</v>
      </c>
    </row>
    <row r="26" customFormat="false" ht="46.25" hidden="false" customHeight="false" outlineLevel="0" collapsed="false">
      <c r="B26" s="81" t="s">
        <v>778</v>
      </c>
      <c r="C26" s="82" t="s">
        <v>779</v>
      </c>
      <c r="D26" s="82" t="s">
        <v>779</v>
      </c>
      <c r="E26" s="82" t="s">
        <v>780</v>
      </c>
      <c r="F26" s="82" t="s">
        <v>780</v>
      </c>
      <c r="G26" s="82" t="s">
        <v>781</v>
      </c>
      <c r="H26" s="82" t="s">
        <v>782</v>
      </c>
      <c r="I26" s="82" t="s">
        <v>783</v>
      </c>
      <c r="J26" s="82" t="s">
        <v>784</v>
      </c>
      <c r="K26" s="82" t="s">
        <v>785</v>
      </c>
      <c r="L26" s="82" t="s">
        <v>786</v>
      </c>
      <c r="M26" s="82" t="s">
        <v>787</v>
      </c>
      <c r="N26" s="82" t="s">
        <v>787</v>
      </c>
      <c r="O26" s="82"/>
      <c r="P26" s="80" t="s">
        <v>788</v>
      </c>
    </row>
    <row r="28" customFormat="false" ht="15" hidden="false" customHeight="false" outlineLevel="0" collapsed="false">
      <c r="B28" s="7" t="s">
        <v>789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28.35" hidden="false" customHeight="false" outlineLevel="0" collapsed="false">
      <c r="B29" s="81" t="s">
        <v>790</v>
      </c>
      <c r="C29" s="91" t="n">
        <v>18228.7</v>
      </c>
      <c r="D29" s="91" t="n">
        <v>17307.9</v>
      </c>
      <c r="E29" s="91" t="n">
        <v>14220.34</v>
      </c>
      <c r="F29" s="91" t="n">
        <v>15220.34</v>
      </c>
      <c r="G29" s="91" t="n">
        <v>11158.91</v>
      </c>
      <c r="H29" s="91" t="n">
        <v>12387.64</v>
      </c>
      <c r="I29" s="91" t="n">
        <v>16780.54</v>
      </c>
      <c r="J29" s="91" t="n">
        <v>18733</v>
      </c>
      <c r="K29" s="91" t="n">
        <v>16890</v>
      </c>
      <c r="L29" s="91" t="n">
        <v>16200</v>
      </c>
      <c r="M29" s="92" t="n">
        <f aca="false">I29+2*ENTRADAS!$C$54</f>
        <v>18580.54</v>
      </c>
      <c r="N29" s="92" t="n">
        <f aca="false">I29+4*ENTRADAS!$C$54</f>
        <v>20380.54</v>
      </c>
      <c r="O29" s="92"/>
      <c r="P29" s="80" t="s">
        <v>791</v>
      </c>
    </row>
    <row r="30" customFormat="false" ht="22.35" hidden="false" customHeight="false" outlineLevel="0" collapsed="false">
      <c r="B30" s="81" t="s">
        <v>792</v>
      </c>
      <c r="C30" s="91" t="n">
        <v>0</v>
      </c>
      <c r="D30" s="91" t="n">
        <v>0</v>
      </c>
      <c r="E30" s="91" t="n">
        <v>1800</v>
      </c>
      <c r="F30" s="91" t="n">
        <v>1800</v>
      </c>
      <c r="G30" s="91" t="n">
        <v>0</v>
      </c>
      <c r="H30" s="91" t="n">
        <v>0</v>
      </c>
      <c r="I30" s="91" t="n">
        <v>1800</v>
      </c>
      <c r="J30" s="91" t="n">
        <v>0</v>
      </c>
      <c r="K30" s="91" t="n">
        <v>0</v>
      </c>
      <c r="L30" s="91" t="n">
        <v>0</v>
      </c>
      <c r="M30" s="91" t="n">
        <v>1800</v>
      </c>
      <c r="N30" s="91" t="n">
        <v>1800</v>
      </c>
      <c r="O30" s="92"/>
      <c r="P30" s="79" t="s">
        <v>793</v>
      </c>
    </row>
    <row r="31" customFormat="false" ht="19.4" hidden="false" customHeight="false" outlineLevel="0" collapsed="false">
      <c r="B31" s="81" t="s">
        <v>794</v>
      </c>
      <c r="C31" s="91" t="n">
        <v>790</v>
      </c>
      <c r="D31" s="91" t="n">
        <v>790</v>
      </c>
      <c r="E31" s="91" t="n">
        <v>0</v>
      </c>
      <c r="F31" s="91" t="n">
        <v>0</v>
      </c>
      <c r="G31" s="91" t="n">
        <v>790</v>
      </c>
      <c r="H31" s="91" t="n">
        <v>0</v>
      </c>
      <c r="I31" s="91" t="n">
        <v>0</v>
      </c>
      <c r="J31" s="91" t="n">
        <v>0</v>
      </c>
      <c r="K31" s="91" t="n">
        <v>0</v>
      </c>
      <c r="L31" s="91" t="n">
        <v>0</v>
      </c>
      <c r="M31" s="91" t="n">
        <v>0</v>
      </c>
      <c r="N31" s="91" t="n">
        <v>0</v>
      </c>
      <c r="O31" s="92"/>
      <c r="P31" s="80" t="s">
        <v>795</v>
      </c>
    </row>
    <row r="32" customFormat="false" ht="22.35" hidden="false" customHeight="false" outlineLevel="0" collapsed="false">
      <c r="B32" s="81" t="s">
        <v>796</v>
      </c>
      <c r="C32" s="92" t="n">
        <f aca="false">6900/10*C11</f>
        <v>8280</v>
      </c>
      <c r="D32" s="92" t="n">
        <f aca="false">6900/10*D11</f>
        <v>8280</v>
      </c>
      <c r="E32" s="91" t="n">
        <v>0</v>
      </c>
      <c r="F32" s="91" t="n">
        <v>0</v>
      </c>
      <c r="G32" s="91" t="n">
        <v>6900</v>
      </c>
      <c r="H32" s="91" t="n">
        <v>0</v>
      </c>
      <c r="I32" s="91" t="n">
        <v>0</v>
      </c>
      <c r="J32" s="91" t="n">
        <v>0</v>
      </c>
      <c r="K32" s="91" t="n">
        <v>0</v>
      </c>
      <c r="L32" s="91" t="n">
        <v>0</v>
      </c>
      <c r="M32" s="91" t="n">
        <v>0</v>
      </c>
      <c r="N32" s="91" t="n">
        <v>0</v>
      </c>
      <c r="O32" s="92"/>
      <c r="P32" s="79" t="s">
        <v>797</v>
      </c>
    </row>
    <row r="33" customFormat="false" ht="22.35" hidden="false" customHeight="false" outlineLevel="0" collapsed="false">
      <c r="B33" s="81" t="s">
        <v>798</v>
      </c>
      <c r="C33" s="92" t="n">
        <f aca="false">ENTRADAS!$C$28</f>
        <v>2500</v>
      </c>
      <c r="D33" s="92" t="n">
        <f aca="false">ENTRADAS!$C$28</f>
        <v>2500</v>
      </c>
      <c r="E33" s="92" t="n">
        <f aca="false">ENTRADAS!$C$28</f>
        <v>2500</v>
      </c>
      <c r="F33" s="92" t="n">
        <f aca="false">ENTRADAS!$C$28</f>
        <v>2500</v>
      </c>
      <c r="G33" s="92" t="n">
        <f aca="false">ENTRADAS!$C$28</f>
        <v>2500</v>
      </c>
      <c r="H33" s="92" t="n">
        <f aca="false">ENTRADAS!$C$28</f>
        <v>2500</v>
      </c>
      <c r="I33" s="92" t="n">
        <f aca="false">ENTRADAS!$C$28</f>
        <v>2500</v>
      </c>
      <c r="J33" s="92" t="n">
        <f aca="false">ENTRADAS!$C$28</f>
        <v>2500</v>
      </c>
      <c r="K33" s="92" t="n">
        <f aca="false">ENTRADAS!$C$28</f>
        <v>2500</v>
      </c>
      <c r="L33" s="92" t="n">
        <f aca="false">ENTRADAS!$C$28</f>
        <v>2500</v>
      </c>
      <c r="M33" s="92" t="n">
        <f aca="false">ENTRADAS!$C$28</f>
        <v>2500</v>
      </c>
      <c r="N33" s="92" t="n">
        <f aca="false">ENTRADAS!$C$28</f>
        <v>2500</v>
      </c>
      <c r="O33" s="92"/>
      <c r="P33" s="79" t="s">
        <v>799</v>
      </c>
    </row>
    <row r="34" customFormat="false" ht="15" hidden="false" customHeight="false" outlineLevel="0" collapsed="false">
      <c r="B34" s="76" t="s">
        <v>800</v>
      </c>
      <c r="C34" s="93" t="n">
        <f aca="false">SUM(C29:C33)</f>
        <v>29798.7</v>
      </c>
      <c r="D34" s="93" t="n">
        <f aca="false">SUM(D29:D33)</f>
        <v>28877.9</v>
      </c>
      <c r="E34" s="93" t="n">
        <f aca="false">SUM(E29:E33)</f>
        <v>18520.34</v>
      </c>
      <c r="F34" s="93" t="n">
        <f aca="false">SUM(F29:F33)</f>
        <v>19520.34</v>
      </c>
      <c r="G34" s="93" t="n">
        <f aca="false">SUM(G29:G33)</f>
        <v>21348.91</v>
      </c>
      <c r="H34" s="93" t="n">
        <f aca="false">SUM(H29:H33)</f>
        <v>14887.64</v>
      </c>
      <c r="I34" s="93" t="n">
        <f aca="false">SUM(I29:I33)</f>
        <v>21080.54</v>
      </c>
      <c r="J34" s="93" t="n">
        <f aca="false">SUM(J29:J33)</f>
        <v>21233</v>
      </c>
      <c r="K34" s="93" t="n">
        <f aca="false">SUM(K29:K33)</f>
        <v>19390</v>
      </c>
      <c r="L34" s="93" t="n">
        <f aca="false">SUM(L29:L33)</f>
        <v>18700</v>
      </c>
      <c r="M34" s="93" t="n">
        <f aca="false">SUM(M29:M33)</f>
        <v>22880.54</v>
      </c>
      <c r="N34" s="93" t="n">
        <f aca="false">SUM(N29:N33)</f>
        <v>24680.54</v>
      </c>
      <c r="O34" s="93"/>
      <c r="P34" s="80" t="s">
        <v>801</v>
      </c>
    </row>
    <row r="35" customFormat="false" ht="15" hidden="false" customHeight="false" outlineLevel="0" collapsed="false">
      <c r="B35" s="76" t="s">
        <v>802</v>
      </c>
      <c r="C35" s="94" t="n">
        <f aca="false">IFERROR(C34/(C14*1000),0)</f>
        <v>4.03776422764228</v>
      </c>
      <c r="D35" s="94" t="n">
        <f aca="false">IFERROR(D34/(D14*1000),0)</f>
        <v>3.97767217630854</v>
      </c>
      <c r="E35" s="94" t="n">
        <f aca="false">IFERROR(E34/(E14*1000),0)</f>
        <v>2.98715161290323</v>
      </c>
      <c r="F35" s="94" t="n">
        <f aca="false">IFERROR(F34/(F14*1000),0)</f>
        <v>3.14844193548387</v>
      </c>
      <c r="G35" s="94" t="n">
        <f aca="false">IFERROR(G34/(G14*1000),0)</f>
        <v>3.99045046728972</v>
      </c>
      <c r="H35" s="94" t="n">
        <f aca="false">IFERROR(H34/(H14*1000),0)</f>
        <v>3.18111965811966</v>
      </c>
      <c r="I35" s="94" t="n">
        <f aca="false">IFERROR(I34/(I14*1000),0)</f>
        <v>3.24316</v>
      </c>
      <c r="J35" s="94" t="n">
        <f aca="false">IFERROR(J34/(J14*1000),0)</f>
        <v>3.59881355932203</v>
      </c>
      <c r="K35" s="94" t="n">
        <f aca="false">IFERROR(K34/(K14*1000),0)</f>
        <v>2.84310850439883</v>
      </c>
      <c r="L35" s="94" t="n">
        <f aca="false">IFERROR(L34/(L14*1000),0)</f>
        <v>3.04065040650407</v>
      </c>
      <c r="M35" s="94" t="n">
        <f aca="false">IFERROR(M34/(M14*1000),0)</f>
        <v>2.93340256410256</v>
      </c>
      <c r="N35" s="94" t="n">
        <f aca="false">IFERROR(N34/(N14*1000),0)</f>
        <v>2.71214725274725</v>
      </c>
      <c r="O35" s="94"/>
      <c r="P35" s="80" t="s">
        <v>803</v>
      </c>
    </row>
    <row r="36" customFormat="false" ht="15" hidden="false" customHeight="false" outlineLevel="0" collapsed="false">
      <c r="B36" s="81" t="s">
        <v>804</v>
      </c>
      <c r="C36" s="95" t="n">
        <f aca="false">IFERROR(C29/(C14*1000),0)</f>
        <v>2.4700135501355</v>
      </c>
      <c r="D36" s="95" t="n">
        <f aca="false">IFERROR(D29/(D14*1000),0)</f>
        <v>2.38400826446281</v>
      </c>
      <c r="E36" s="95" t="s">
        <v>805</v>
      </c>
      <c r="F36" s="95" t="s">
        <v>805</v>
      </c>
      <c r="G36" s="95" t="n">
        <f aca="false">IFERROR(G29/(G14*1000),0)</f>
        <v>2.08577757009346</v>
      </c>
      <c r="H36" s="95" t="s">
        <v>805</v>
      </c>
      <c r="I36" s="95" t="s">
        <v>805</v>
      </c>
      <c r="J36" s="95" t="s">
        <v>805</v>
      </c>
      <c r="K36" s="95" t="s">
        <v>805</v>
      </c>
      <c r="L36" s="95" t="s">
        <v>805</v>
      </c>
      <c r="M36" s="95" t="s">
        <v>805</v>
      </c>
      <c r="N36" s="95" t="s">
        <v>805</v>
      </c>
      <c r="O36" s="95"/>
      <c r="P36" s="80" t="s">
        <v>806</v>
      </c>
    </row>
    <row r="38" customFormat="false" ht="15" hidden="false" customHeight="false" outlineLevel="0" collapsed="false">
      <c r="B38" s="7" t="s">
        <v>807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customFormat="false" ht="15" hidden="false" customHeight="false" outlineLevel="0" collapsed="false">
      <c r="B39" s="81" t="s">
        <v>808</v>
      </c>
      <c r="C39" s="85" t="n">
        <f aca="false">C14*GERACAO!$I$17</f>
        <v>9330.3051831</v>
      </c>
      <c r="D39" s="85" t="n">
        <f aca="false">D14*GERACAO!$I$17</f>
        <v>9178.5929037</v>
      </c>
      <c r="E39" s="85" t="n">
        <f aca="false">E14*GERACAO!$I$17</f>
        <v>7838.467769</v>
      </c>
      <c r="F39" s="85" t="n">
        <f aca="false">F14*GERACAO!$I$17</f>
        <v>7838.467769</v>
      </c>
      <c r="G39" s="85" t="n">
        <f aca="false">G14*GERACAO!$I$17</f>
        <v>6763.83912325</v>
      </c>
      <c r="H39" s="85" t="n">
        <f aca="false">H14*GERACAO!$I$17</f>
        <v>5916.7788966</v>
      </c>
      <c r="I39" s="85" t="n">
        <f aca="false">I14*GERACAO!$I$17</f>
        <v>8217.7484675</v>
      </c>
      <c r="J39" s="85" t="n">
        <f aca="false">J14*GERACAO!$I$17</f>
        <v>7459.1870705</v>
      </c>
      <c r="K39" s="85" t="n">
        <f aca="false">K14*GERACAO!$I$17</f>
        <v>8622.3145459</v>
      </c>
      <c r="L39" s="85" t="n">
        <f aca="false">L14*GERACAO!$I$17</f>
        <v>7775.25431925</v>
      </c>
      <c r="M39" s="85" t="n">
        <f aca="false">M14*GERACAO!$I$17</f>
        <v>9861.298161</v>
      </c>
      <c r="N39" s="85" t="n">
        <f aca="false">N14*GERACAO!$I$17</f>
        <v>11504.8478545</v>
      </c>
      <c r="O39" s="85"/>
      <c r="P39" s="80" t="s">
        <v>809</v>
      </c>
    </row>
    <row r="40" customFormat="false" ht="15" hidden="false" customHeight="false" outlineLevel="0" collapsed="false">
      <c r="B40" s="81" t="s">
        <v>810</v>
      </c>
      <c r="C40" s="85" t="n">
        <f aca="false">C39/12</f>
        <v>777.525431925</v>
      </c>
      <c r="D40" s="85" t="n">
        <f aca="false">D39/12</f>
        <v>764.882741975</v>
      </c>
      <c r="E40" s="85" t="n">
        <f aca="false">E39/12</f>
        <v>653.205647416667</v>
      </c>
      <c r="F40" s="85" t="n">
        <f aca="false">F39/12</f>
        <v>653.205647416667</v>
      </c>
      <c r="G40" s="85" t="n">
        <f aca="false">G39/12</f>
        <v>563.653260270833</v>
      </c>
      <c r="H40" s="85" t="n">
        <f aca="false">H39/12</f>
        <v>493.06490805</v>
      </c>
      <c r="I40" s="85" t="n">
        <f aca="false">I39/12</f>
        <v>684.812372291667</v>
      </c>
      <c r="J40" s="85" t="n">
        <f aca="false">J39/12</f>
        <v>621.598922541667</v>
      </c>
      <c r="K40" s="85" t="n">
        <f aca="false">K39/12</f>
        <v>718.526212158333</v>
      </c>
      <c r="L40" s="85" t="n">
        <f aca="false">L39/12</f>
        <v>647.9378599375</v>
      </c>
      <c r="M40" s="85" t="n">
        <f aca="false">M39/12</f>
        <v>821.77484675</v>
      </c>
      <c r="N40" s="85" t="n">
        <f aca="false">N39/12</f>
        <v>958.737321208334</v>
      </c>
      <c r="O40" s="85"/>
      <c r="P40" s="80"/>
    </row>
    <row r="41" customFormat="false" ht="15" hidden="false" customHeight="false" outlineLevel="0" collapsed="false">
      <c r="B41" s="81" t="s">
        <v>811</v>
      </c>
      <c r="C41" s="85" t="n">
        <f aca="false">C39/ENTRADAS!$C$31*ENTRADAS!$C$32</f>
        <v>8503.5692808</v>
      </c>
      <c r="D41" s="85" t="n">
        <f aca="false">D39/ENTRADAS!$C$31*ENTRADAS!$C$32</f>
        <v>8365.2998616</v>
      </c>
      <c r="E41" s="85" t="n">
        <f aca="false">E39/ENTRADAS!$C$31*ENTRADAS!$C$32</f>
        <v>7143.919992</v>
      </c>
      <c r="F41" s="85" t="n">
        <f aca="false">F39/ENTRADAS!$C$31*ENTRADAS!$C$32</f>
        <v>7143.919992</v>
      </c>
      <c r="G41" s="85" t="n">
        <f aca="false">G39/ENTRADAS!$C$31*ENTRADAS!$C$32</f>
        <v>6164.511606</v>
      </c>
      <c r="H41" s="85" t="n">
        <f aca="false">H39/ENTRADAS!$C$31*ENTRADAS!$C$32</f>
        <v>5392.5073488</v>
      </c>
      <c r="I41" s="85" t="n">
        <f aca="false">I39/ENTRADAS!$C$31*ENTRADAS!$C$32</f>
        <v>7489.59354</v>
      </c>
      <c r="J41" s="85" t="n">
        <f aca="false">J39/ENTRADAS!$C$31*ENTRADAS!$C$32</f>
        <v>6798.246444</v>
      </c>
      <c r="K41" s="85" t="n">
        <f aca="false">K39/ENTRADAS!$C$31*ENTRADAS!$C$32</f>
        <v>7858.3119912</v>
      </c>
      <c r="L41" s="85" t="n">
        <f aca="false">L39/ENTRADAS!$C$31*ENTRADAS!$C$32</f>
        <v>7086.307734</v>
      </c>
      <c r="M41" s="85" t="n">
        <f aca="false">M39/ENTRADAS!$C$31*ENTRADAS!$C$32</f>
        <v>8987.512248</v>
      </c>
      <c r="N41" s="85" t="n">
        <f aca="false">N39/ENTRADAS!$C$31*ENTRADAS!$C$32</f>
        <v>10485.430956</v>
      </c>
      <c r="O41" s="85"/>
      <c r="P41" s="80" t="s">
        <v>812</v>
      </c>
    </row>
    <row r="42" customFormat="false" ht="19.4" hidden="false" customHeight="false" outlineLevel="0" collapsed="false">
      <c r="B42" s="81" t="s">
        <v>813</v>
      </c>
      <c r="C42" s="84" t="n">
        <v>10554</v>
      </c>
      <c r="D42" s="84" t="n">
        <v>0</v>
      </c>
      <c r="E42" s="84" t="n">
        <v>8400</v>
      </c>
      <c r="F42" s="84" t="n">
        <v>8400</v>
      </c>
      <c r="G42" s="84" t="n">
        <v>6151</v>
      </c>
      <c r="H42" s="84" t="n">
        <v>6367.5</v>
      </c>
      <c r="I42" s="84" t="n">
        <v>8400</v>
      </c>
      <c r="J42" s="84" t="n">
        <v>7329.96</v>
      </c>
      <c r="K42" s="84" t="n">
        <v>9279.13</v>
      </c>
      <c r="L42" s="84" t="n">
        <v>7981.26</v>
      </c>
      <c r="M42" s="84" t="n">
        <v>0</v>
      </c>
      <c r="N42" s="84" t="n">
        <v>0</v>
      </c>
      <c r="O42" s="85"/>
      <c r="P42" s="80" t="s">
        <v>814</v>
      </c>
    </row>
    <row r="43" customFormat="false" ht="22.35" hidden="false" customHeight="false" outlineLevel="0" collapsed="false">
      <c r="B43" s="76" t="s">
        <v>815</v>
      </c>
      <c r="C43" s="96" t="n">
        <f aca="false">IFERROR(C39/C42-1,0)</f>
        <v>-0.115946069442865</v>
      </c>
      <c r="D43" s="96" t="n">
        <f aca="false">IFERROR(D39/D42-1,0)</f>
        <v>0</v>
      </c>
      <c r="E43" s="96" t="n">
        <f aca="false">IFERROR(E39/E42-1,0)</f>
        <v>-0.0668490751190475</v>
      </c>
      <c r="F43" s="96" t="n">
        <f aca="false">IFERROR(F39/F42-1,0)</f>
        <v>-0.0668490751190475</v>
      </c>
      <c r="G43" s="96" t="n">
        <f aca="false">IFERROR(G39/G42-1,0)</f>
        <v>0.0996324375304829</v>
      </c>
      <c r="H43" s="96" t="n">
        <f aca="false">IFERROR(H39/H42-1,0)</f>
        <v>-0.0707846255830389</v>
      </c>
      <c r="I43" s="96" t="n">
        <f aca="false">IFERROR(I39/I42-1,0)</f>
        <v>-0.0216966110119046</v>
      </c>
      <c r="J43" s="96" t="n">
        <f aca="false">IFERROR(J39/J42-1,0)</f>
        <v>0.0176299830421995</v>
      </c>
      <c r="K43" s="96" t="n">
        <f aca="false">IFERROR(K39/K42-1,0)</f>
        <v>-0.0707841633967838</v>
      </c>
      <c r="L43" s="96" t="n">
        <f aca="false">IFERROR(L39/L42-1,0)</f>
        <v>-0.0258111727659541</v>
      </c>
      <c r="M43" s="96" t="n">
        <f aca="false">IFERROR(M39/M42-1,0)</f>
        <v>0</v>
      </c>
      <c r="N43" s="96" t="n">
        <f aca="false">IFERROR(N39/N42-1,0)</f>
        <v>0</v>
      </c>
      <c r="O43" s="96"/>
      <c r="P43" s="79" t="s">
        <v>816</v>
      </c>
    </row>
    <row r="44" customFormat="false" ht="15" hidden="false" customHeight="false" outlineLevel="0" collapsed="false">
      <c r="B44" s="81" t="s">
        <v>817</v>
      </c>
      <c r="C44" s="85" t="n">
        <f aca="false">C14*GERACAO!$J$17</f>
        <v>10488.7105362</v>
      </c>
      <c r="D44" s="85" t="n">
        <f aca="false">D14*GERACAO!$J$17</f>
        <v>10318.1623974</v>
      </c>
      <c r="E44" s="85" t="n">
        <f aca="false">E14*GERACAO!$J$17</f>
        <v>8811.653838</v>
      </c>
      <c r="F44" s="85" t="n">
        <f aca="false">F14*GERACAO!$J$17</f>
        <v>8811.653838</v>
      </c>
      <c r="G44" s="85" t="n">
        <f aca="false">G14*GERACAO!$J$17</f>
        <v>7603.6045215</v>
      </c>
      <c r="H44" s="85" t="n">
        <f aca="false">H14*GERACAO!$J$17</f>
        <v>6651.3774132</v>
      </c>
      <c r="I44" s="85" t="n">
        <f aca="false">I14*GERACAO!$J$17</f>
        <v>9238.024185</v>
      </c>
      <c r="J44" s="85" t="n">
        <f aca="false">J14*GERACAO!$J$17</f>
        <v>8385.283491</v>
      </c>
      <c r="K44" s="85" t="n">
        <f aca="false">K14*GERACAO!$J$17</f>
        <v>9692.8192218</v>
      </c>
      <c r="L44" s="85" t="n">
        <f aca="false">L14*GERACAO!$J$17</f>
        <v>8740.5921135</v>
      </c>
      <c r="M44" s="85" t="n">
        <f aca="false">M14*GERACAO!$J$17</f>
        <v>11085.629022</v>
      </c>
      <c r="N44" s="85" t="n">
        <f aca="false">N14*GERACAO!$J$17</f>
        <v>12933.233859</v>
      </c>
      <c r="O44" s="85"/>
      <c r="P44" s="80" t="s">
        <v>818</v>
      </c>
    </row>
    <row r="46" customFormat="false" ht="15" hidden="false" customHeight="false" outlineLevel="0" collapsed="false">
      <c r="B46" s="7" t="s">
        <v>819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customFormat="false" ht="15" hidden="false" customHeight="false" outlineLevel="0" collapsed="false">
      <c r="B47" s="81" t="s">
        <v>820</v>
      </c>
      <c r="C47" s="97" t="n">
        <f aca="false">IFERROR(C39/(BYD!$F$33*12),0)</f>
        <v>2.20996463105905</v>
      </c>
      <c r="D47" s="97" t="n">
        <f aca="false">IFERROR(D39/(BYD!$F$33*12),0)</f>
        <v>2.17403024681419</v>
      </c>
      <c r="E47" s="97" t="n">
        <f aca="false">IFERROR(E39/(BYD!$F$33*12),0)</f>
        <v>1.85660985265124</v>
      </c>
      <c r="F47" s="97" t="n">
        <f aca="false">IFERROR(F39/(BYD!$F$33*12),0)</f>
        <v>1.85660985265124</v>
      </c>
      <c r="G47" s="97" t="n">
        <f aca="false">IFERROR(G39/(BYD!$F$33*12),0)</f>
        <v>1.60207463091679</v>
      </c>
      <c r="H47" s="97" t="n">
        <f aca="false">IFERROR(H39/(BYD!$F$33*12),0)</f>
        <v>1.40144098554964</v>
      </c>
      <c r="I47" s="97" t="n">
        <f aca="false">IFERROR(I39/(BYD!$F$33*12),0)</f>
        <v>1.9464458132634</v>
      </c>
      <c r="J47" s="97" t="n">
        <f aca="false">IFERROR(J39/(BYD!$F$33*12),0)</f>
        <v>1.76677389203908</v>
      </c>
      <c r="K47" s="97" t="n">
        <f aca="false">IFERROR(K39/(BYD!$F$33*12),0)</f>
        <v>2.04227083791636</v>
      </c>
      <c r="L47" s="97" t="n">
        <f aca="false">IFERROR(L39/(BYD!$F$33*12),0)</f>
        <v>1.84163719254921</v>
      </c>
      <c r="M47" s="97" t="n">
        <f aca="false">IFERROR(M39/(BYD!$F$33*12),0)</f>
        <v>2.33573497591607</v>
      </c>
      <c r="N47" s="97" t="n">
        <f aca="false">IFERROR(N39/(BYD!$F$33*12),0)</f>
        <v>2.72502413856875</v>
      </c>
      <c r="O47" s="97"/>
      <c r="P47" s="80" t="s">
        <v>821</v>
      </c>
    </row>
    <row r="48" customFormat="false" ht="15" hidden="false" customHeight="false" outlineLevel="0" collapsed="false">
      <c r="B48" s="81" t="s">
        <v>822</v>
      </c>
      <c r="C48" s="97" t="n">
        <f aca="false">IFERROR(C39/(BYD!$F$34*12),0)</f>
        <v>1.3479350073377</v>
      </c>
      <c r="D48" s="97" t="n">
        <f aca="false">IFERROR(D39/(BYD!$F$34*12),0)</f>
        <v>1.32601736494196</v>
      </c>
      <c r="E48" s="97" t="n">
        <f aca="false">IFERROR(E39/(BYD!$F$34*12),0)</f>
        <v>1.13241152377964</v>
      </c>
      <c r="F48" s="97" t="n">
        <f aca="false">IFERROR(F39/(BYD!$F$34*12),0)</f>
        <v>1.13241152377964</v>
      </c>
      <c r="G48" s="97" t="n">
        <f aca="false">IFERROR(G39/(BYD!$F$34*12),0)</f>
        <v>0.977161556809848</v>
      </c>
      <c r="H48" s="97" t="n">
        <f aca="false">IFERROR(H39/(BYD!$F$34*12),0)</f>
        <v>0.854788053433662</v>
      </c>
      <c r="I48" s="97" t="n">
        <f aca="false">IFERROR(I39/(BYD!$F$34*12),0)</f>
        <v>1.18720562976897</v>
      </c>
      <c r="J48" s="97" t="n">
        <f aca="false">IFERROR(J39/(BYD!$F$34*12),0)</f>
        <v>1.0776174177903</v>
      </c>
      <c r="K48" s="97" t="n">
        <f aca="false">IFERROR(K39/(BYD!$F$34*12),0)</f>
        <v>1.2456526761576</v>
      </c>
      <c r="L48" s="97" t="n">
        <f aca="false">IFERROR(L39/(BYD!$F$34*12),0)</f>
        <v>1.12327917278141</v>
      </c>
      <c r="M48" s="97" t="n">
        <f aca="false">IFERROR(M39/(BYD!$F$34*12),0)</f>
        <v>1.42464675572277</v>
      </c>
      <c r="N48" s="97" t="n">
        <f aca="false">IFERROR(N39/(BYD!$F$34*12),0)</f>
        <v>1.66208788167656</v>
      </c>
      <c r="O48" s="97"/>
      <c r="P48" s="80"/>
    </row>
    <row r="49" customFormat="false" ht="15" hidden="false" customHeight="false" outlineLevel="0" collapsed="false">
      <c r="B49" s="76" t="s">
        <v>823</v>
      </c>
      <c r="C49" s="98" t="n">
        <f aca="false">IFERROR(C39/(BYD!$F$35*12),0)</f>
        <v>1.17211739768495</v>
      </c>
      <c r="D49" s="98" t="n">
        <f aca="false">IFERROR(D39/(BYD!$F$35*12),0)</f>
        <v>1.1530585782104</v>
      </c>
      <c r="E49" s="98" t="n">
        <f aca="false">IFERROR(E39/(BYD!$F$35*12),0)</f>
        <v>0.984705672851859</v>
      </c>
      <c r="F49" s="98" t="n">
        <f aca="false">IFERROR(F39/(BYD!$F$35*12),0)</f>
        <v>0.984705672851859</v>
      </c>
      <c r="G49" s="98" t="n">
        <f aca="false">IFERROR(G39/(BYD!$F$35*12),0)</f>
        <v>0.849705701573781</v>
      </c>
      <c r="H49" s="98" t="n">
        <f aca="false">IFERROR(H39/(BYD!$F$35*12),0)</f>
        <v>0.743293959507532</v>
      </c>
      <c r="I49" s="98" t="n">
        <f aca="false">IFERROR(I39/(BYD!$F$35*12),0)</f>
        <v>1.03235272153824</v>
      </c>
      <c r="J49" s="98" t="n">
        <f aca="false">IFERROR(J39/(BYD!$F$35*12),0)</f>
        <v>0.937058624165478</v>
      </c>
      <c r="K49" s="98" t="n">
        <f aca="false">IFERROR(K39/(BYD!$F$35*12),0)</f>
        <v>1.08317624013704</v>
      </c>
      <c r="L49" s="98" t="n">
        <f aca="false">IFERROR(L39/(BYD!$F$35*12),0)</f>
        <v>0.976764498070795</v>
      </c>
      <c r="M49" s="98" t="n">
        <f aca="false">IFERROR(M39/(BYD!$F$35*12),0)</f>
        <v>1.23882326584589</v>
      </c>
      <c r="N49" s="98" t="n">
        <f aca="false">IFERROR(N39/(BYD!$F$35*12),0)</f>
        <v>1.44529381015353</v>
      </c>
      <c r="O49" s="98"/>
      <c r="P49" s="80" t="s">
        <v>824</v>
      </c>
    </row>
    <row r="50" customFormat="false" ht="15" hidden="false" customHeight="false" outlineLevel="0" collapsed="false">
      <c r="B50" s="81" t="s">
        <v>825</v>
      </c>
      <c r="C50" s="85" t="n">
        <f aca="false">C39-BYD!$G$35</f>
        <v>1370.09129878409</v>
      </c>
      <c r="D50" s="85" t="n">
        <f aca="false">D39-BYD!$G$35</f>
        <v>1218.37901938409</v>
      </c>
      <c r="E50" s="85" t="n">
        <f aca="false">E39-BYD!$G$35</f>
        <v>-121.746115315906</v>
      </c>
      <c r="F50" s="85" t="n">
        <f aca="false">F39-BYD!$G$35</f>
        <v>-121.746115315906</v>
      </c>
      <c r="G50" s="85" t="n">
        <f aca="false">G39-BYD!$G$35</f>
        <v>-1196.37476106591</v>
      </c>
      <c r="H50" s="85" t="n">
        <f aca="false">H39-BYD!$G$35</f>
        <v>-2043.43498771591</v>
      </c>
      <c r="I50" s="85" t="n">
        <f aca="false">I39-BYD!$G$35</f>
        <v>257.534583184095</v>
      </c>
      <c r="J50" s="85" t="n">
        <f aca="false">J39-BYD!$G$35</f>
        <v>-501.026813815905</v>
      </c>
      <c r="K50" s="85" t="n">
        <f aca="false">K39-BYD!$G$35</f>
        <v>662.100661584094</v>
      </c>
      <c r="L50" s="85" t="n">
        <f aca="false">L39-BYD!$G$35</f>
        <v>-184.959565065905</v>
      </c>
      <c r="M50" s="85" t="n">
        <f aca="false">M39-BYD!$G$35</f>
        <v>1901.08427668409</v>
      </c>
      <c r="N50" s="85" t="n">
        <f aca="false">N39-BYD!$G$35</f>
        <v>3544.6339701841</v>
      </c>
      <c r="O50" s="85"/>
      <c r="P50" s="80" t="s">
        <v>826</v>
      </c>
    </row>
    <row r="51" customFormat="false" ht="15" hidden="false" customHeight="false" outlineLevel="0" collapsed="false">
      <c r="B51" s="76" t="s">
        <v>827</v>
      </c>
      <c r="C51" s="99" t="n">
        <f aca="false">IFERROR(ROUNDUP(MAX(0,BYD!$G$35-C39)/GERACAO!$I$17*1000/C12,0),0)</f>
        <v>0</v>
      </c>
      <c r="D51" s="99" t="n">
        <f aca="false">IFERROR(ROUNDUP(MAX(0,BYD!$G$35-D39)/GERACAO!$I$17*1000/D12,0),0)</f>
        <v>0</v>
      </c>
      <c r="E51" s="99" t="n">
        <f aca="false">IFERROR(ROUNDUP(MAX(0,BYD!$G$35-E39)/GERACAO!$I$17*1000/E12,0),0)</f>
        <v>1</v>
      </c>
      <c r="F51" s="99" t="n">
        <f aca="false">IFERROR(ROUNDUP(MAX(0,BYD!$G$35-F39)/GERACAO!$I$17*1000/F12,0),0)</f>
        <v>1</v>
      </c>
      <c r="G51" s="99" t="n">
        <f aca="false">IFERROR(ROUNDUP(MAX(0,BYD!$G$35-G39)/GERACAO!$I$17*1000/G12,0),0)</f>
        <v>2</v>
      </c>
      <c r="H51" s="99" t="n">
        <f aca="false">IFERROR(ROUNDUP(MAX(0,BYD!$G$35-H39)/GERACAO!$I$17*1000/H12,0),0)</f>
        <v>3</v>
      </c>
      <c r="I51" s="99" t="n">
        <f aca="false">IFERROR(ROUNDUP(MAX(0,BYD!$G$35-I39)/GERACAO!$I$17*1000/I12,0),0)</f>
        <v>0</v>
      </c>
      <c r="J51" s="99" t="n">
        <f aca="false">IFERROR(ROUNDUP(MAX(0,BYD!$G$35-J39)/GERACAO!$I$17*1000/J12,0),0)</f>
        <v>1</v>
      </c>
      <c r="K51" s="99" t="n">
        <f aca="false">IFERROR(ROUNDUP(MAX(0,BYD!$G$35-K39)/GERACAO!$I$17*1000/K12,0),0)</f>
        <v>0</v>
      </c>
      <c r="L51" s="99" t="n">
        <f aca="false">IFERROR(ROUNDUP(MAX(0,BYD!$G$35-L39)/GERACAO!$I$17*1000/L12,0),0)</f>
        <v>1</v>
      </c>
      <c r="M51" s="99" t="n">
        <f aca="false">IFERROR(ROUNDUP(MAX(0,BYD!$G$35-M39)/GERACAO!$I$17*1000/M12,0),0)</f>
        <v>0</v>
      </c>
      <c r="N51" s="99" t="n">
        <f aca="false">IFERROR(ROUNDUP(MAX(0,BYD!$G$35-N39)/GERACAO!$I$17*1000/N12,0),0)</f>
        <v>0</v>
      </c>
      <c r="O51" s="99"/>
      <c r="P51" s="80"/>
    </row>
    <row r="52" customFormat="false" ht="15" hidden="false" customHeight="false" outlineLevel="0" collapsed="false">
      <c r="B52" s="76" t="s">
        <v>828</v>
      </c>
      <c r="C52" s="100" t="n">
        <f aca="false">IFERROR(ROUNDUP(BYD!$C$13*12/GERACAO!$I$17*1000/C12,0),0)</f>
        <v>4</v>
      </c>
      <c r="D52" s="100" t="n">
        <f aca="false">IFERROR(ROUNDUP(BYD!$C$13*12/GERACAO!$I$17*1000/D12,0),0)</f>
        <v>4</v>
      </c>
      <c r="E52" s="100" t="n">
        <f aca="false">IFERROR(ROUNDUP(BYD!$C$13*12/GERACAO!$I$17*1000/E12,0),0)</f>
        <v>4</v>
      </c>
      <c r="F52" s="100" t="n">
        <f aca="false">IFERROR(ROUNDUP(BYD!$C$13*12/GERACAO!$I$17*1000/F12,0),0)</f>
        <v>4</v>
      </c>
      <c r="G52" s="100" t="n">
        <f aca="false">IFERROR(ROUNDUP(BYD!$C$13*12/GERACAO!$I$17*1000/G12,0),0)</f>
        <v>4</v>
      </c>
      <c r="H52" s="100" t="n">
        <f aca="false">IFERROR(ROUNDUP(BYD!$C$13*12/GERACAO!$I$17*1000/H12,0),0)</f>
        <v>4</v>
      </c>
      <c r="I52" s="100" t="n">
        <f aca="false">IFERROR(ROUNDUP(BYD!$C$13*12/GERACAO!$I$17*1000/I12,0),0)</f>
        <v>4</v>
      </c>
      <c r="J52" s="100" t="n">
        <f aca="false">IFERROR(ROUNDUP(BYD!$C$13*12/GERACAO!$I$17*1000/J12,0),0)</f>
        <v>4</v>
      </c>
      <c r="K52" s="100" t="n">
        <f aca="false">IFERROR(ROUNDUP(BYD!$C$13*12/GERACAO!$I$17*1000/K12,0),0)</f>
        <v>4</v>
      </c>
      <c r="L52" s="100" t="n">
        <f aca="false">IFERROR(ROUNDUP(BYD!$C$13*12/GERACAO!$I$17*1000/L12,0),0)</f>
        <v>4</v>
      </c>
      <c r="M52" s="100" t="n">
        <f aca="false">IFERROR(ROUNDUP(BYD!$C$13*12/GERACAO!$I$17*1000/M12,0),0)</f>
        <v>4</v>
      </c>
      <c r="N52" s="100" t="n">
        <f aca="false">IFERROR(ROUNDUP(BYD!$C$13*12/GERACAO!$I$17*1000/N12,0),0)</f>
        <v>4</v>
      </c>
      <c r="O52" s="100"/>
      <c r="P52" s="80" t="s">
        <v>829</v>
      </c>
    </row>
    <row r="53" customFormat="false" ht="22.35" hidden="false" customHeight="false" outlineLevel="0" collapsed="false">
      <c r="B53" s="81" t="s">
        <v>830</v>
      </c>
      <c r="C53" s="82" t="str">
        <f aca="false">C16&amp;" kW = "&amp;TEXT(C16*1000/220,"0")&amp;" A"</f>
        <v>6 kW = 27 A</v>
      </c>
      <c r="D53" s="82" t="str">
        <f aca="false">D16&amp;" kW = "&amp;TEXT(D16*1000/220,"0")&amp;" A"</f>
        <v>6 kW = 27 A</v>
      </c>
      <c r="E53" s="82" t="str">
        <f aca="false">E16&amp;" kW = "&amp;TEXT(E16*1000/220,"0")&amp;" A"</f>
        <v>5 kW = 23 A</v>
      </c>
      <c r="F53" s="82" t="str">
        <f aca="false">F16&amp;" kW = "&amp;TEXT(F16*1000/220,"0")&amp;" A"</f>
        <v>5 kW = 23 A</v>
      </c>
      <c r="G53" s="82" t="str">
        <f aca="false">G16&amp;" kW = "&amp;TEXT(G16*1000/220,"0")&amp;" A"</f>
        <v>4 kW = 18 A</v>
      </c>
      <c r="H53" s="82" t="str">
        <f aca="false">H16&amp;" kW = "&amp;TEXT(H16*1000/220,"0")&amp;" A"</f>
        <v>3 kW = 14 A</v>
      </c>
      <c r="I53" s="82" t="str">
        <f aca="false">I16&amp;" kW = "&amp;TEXT(I16*1000/220,"0")&amp;" A"</f>
        <v>9 kW = 41 A</v>
      </c>
      <c r="J53" s="82" t="str">
        <f aca="false">J16&amp;" kW = "&amp;TEXT(J16*1000/220,"0")&amp;" A"</f>
        <v>5 kW = 23 A</v>
      </c>
      <c r="K53" s="82" t="str">
        <f aca="false">K16&amp;" kW = "&amp;TEXT(K16*1000/220,"0")&amp;" A"</f>
        <v>7.5 kW = 34 A</v>
      </c>
      <c r="L53" s="82" t="str">
        <f aca="false">L16&amp;" kW = "&amp;TEXT(L16*1000/220,"0")&amp;" A"</f>
        <v>6 kW = 27 A</v>
      </c>
      <c r="M53" s="82" t="str">
        <f aca="false">M16&amp;" kW = "&amp;TEXT(M16*1000/220,"0")&amp;" A"</f>
        <v>9 kW = 41 A</v>
      </c>
      <c r="N53" s="82" t="str">
        <f aca="false">N16&amp;" kW = "&amp;TEXT(N16*1000/220,"0")&amp;" A"</f>
        <v>9 kW = 41 A</v>
      </c>
      <c r="O53" s="82"/>
      <c r="P53" s="79" t="s">
        <v>831</v>
      </c>
    </row>
    <row r="55" customFormat="false" ht="15" hidden="false" customHeight="false" outlineLevel="0" collapsed="false">
      <c r="B55" s="7" t="s">
        <v>832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customFormat="false" ht="15" hidden="false" customHeight="false" outlineLevel="0" collapsed="false">
      <c r="B56" s="81" t="s">
        <v>833</v>
      </c>
      <c r="C56" s="92" t="n">
        <f aca="false">CONTA!$C$54</f>
        <v>410.62787654321</v>
      </c>
      <c r="D56" s="92" t="n">
        <f aca="false">CONTA!$C$54</f>
        <v>410.62787654321</v>
      </c>
      <c r="E56" s="92" t="n">
        <f aca="false">CONTA!$C$54</f>
        <v>410.62787654321</v>
      </c>
      <c r="F56" s="92" t="n">
        <f aca="false">CONTA!$C$54</f>
        <v>410.62787654321</v>
      </c>
      <c r="G56" s="92" t="n">
        <f aca="false">CONTA!$C$54</f>
        <v>410.62787654321</v>
      </c>
      <c r="H56" s="92" t="n">
        <f aca="false">CONTA!$C$54</f>
        <v>410.62787654321</v>
      </c>
      <c r="I56" s="92" t="n">
        <f aca="false">CONTA!$C$54</f>
        <v>410.62787654321</v>
      </c>
      <c r="J56" s="92" t="n">
        <f aca="false">CONTA!$C$54</f>
        <v>410.62787654321</v>
      </c>
      <c r="K56" s="92" t="n">
        <f aca="false">CONTA!$C$54</f>
        <v>410.62787654321</v>
      </c>
      <c r="L56" s="92" t="n">
        <f aca="false">CONTA!$C$54</f>
        <v>410.62787654321</v>
      </c>
      <c r="M56" s="92" t="n">
        <f aca="false">CONTA!$C$54</f>
        <v>410.62787654321</v>
      </c>
      <c r="N56" s="92" t="n">
        <f aca="false">CONTA!$C$54</f>
        <v>410.62787654321</v>
      </c>
      <c r="O56" s="92"/>
      <c r="P56" s="80" t="s">
        <v>834</v>
      </c>
    </row>
    <row r="57" customFormat="false" ht="15" hidden="false" customHeight="false" outlineLevel="0" collapsed="false">
      <c r="B57" s="81" t="s">
        <v>835</v>
      </c>
      <c r="C57" s="92" t="n">
        <f aca="false">ECONOMIA!C8/12</f>
        <v>698.703306367681</v>
      </c>
      <c r="D57" s="92" t="n">
        <f aca="false">ECONOMIA!D8/12</f>
        <v>698.703306367681</v>
      </c>
      <c r="E57" s="92" t="n">
        <f aca="false">ECONOMIA!E8/12</f>
        <v>698.703306367681</v>
      </c>
      <c r="F57" s="92" t="n">
        <f aca="false">ECONOMIA!F8/12</f>
        <v>698.703306367681</v>
      </c>
      <c r="G57" s="92" t="n">
        <f aca="false">ECONOMIA!G8/12</f>
        <v>698.703306367681</v>
      </c>
      <c r="H57" s="92" t="n">
        <f aca="false">ECONOMIA!H8/12</f>
        <v>698.703306367681</v>
      </c>
      <c r="I57" s="92" t="n">
        <f aca="false">ECONOMIA!I8/12</f>
        <v>698.703306367681</v>
      </c>
      <c r="J57" s="92" t="n">
        <f aca="false">ECONOMIA!J8/12</f>
        <v>698.703306367681</v>
      </c>
      <c r="K57" s="92" t="n">
        <f aca="false">ECONOMIA!K8/12</f>
        <v>698.703306367681</v>
      </c>
      <c r="L57" s="92" t="n">
        <f aca="false">ECONOMIA!L8/12</f>
        <v>698.703306367681</v>
      </c>
      <c r="M57" s="92" t="n">
        <f aca="false">ECONOMIA!M8/12</f>
        <v>698.703306367681</v>
      </c>
      <c r="N57" s="92" t="n">
        <f aca="false">ECONOMIA!N8/12</f>
        <v>698.703306367681</v>
      </c>
      <c r="O57" s="92"/>
      <c r="P57" s="80" t="s">
        <v>836</v>
      </c>
    </row>
    <row r="58" customFormat="false" ht="15" hidden="false" customHeight="false" outlineLevel="0" collapsed="false">
      <c r="B58" s="76" t="s">
        <v>837</v>
      </c>
      <c r="C58" s="101" t="n">
        <f aca="false">ECONOMIA!C19</f>
        <v>161.149677707473</v>
      </c>
      <c r="D58" s="101" t="n">
        <f aca="false">ECONOMIA!D19</f>
        <v>161.149677707473</v>
      </c>
      <c r="E58" s="101" t="n">
        <f aca="false">ECONOMIA!E19</f>
        <v>161.803195027494</v>
      </c>
      <c r="F58" s="101" t="n">
        <f aca="false">ECONOMIA!F19</f>
        <v>161.803195027494</v>
      </c>
      <c r="G58" s="101" t="n">
        <f aca="false">ECONOMIA!G19</f>
        <v>207.665698532713</v>
      </c>
      <c r="H58" s="101" t="n">
        <f aca="false">ECONOMIA!H19</f>
        <v>269.160127925129</v>
      </c>
      <c r="I58" s="101" t="n">
        <f aca="false">ECONOMIA!I19</f>
        <v>161.149677707473</v>
      </c>
      <c r="J58" s="101" t="n">
        <f aca="false">ECONOMIA!J19</f>
        <v>163.839124510551</v>
      </c>
      <c r="K58" s="101" t="n">
        <f aca="false">ECONOMIA!K19</f>
        <v>161.149677707473</v>
      </c>
      <c r="L58" s="101" t="n">
        <f aca="false">ECONOMIA!L19</f>
        <v>162.142516608004</v>
      </c>
      <c r="M58" s="101" t="n">
        <f aca="false">ECONOMIA!M19</f>
        <v>161.149677707473</v>
      </c>
      <c r="N58" s="101" t="n">
        <f aca="false">ECONOMIA!N19</f>
        <v>161.149677707473</v>
      </c>
      <c r="O58" s="101"/>
      <c r="P58" s="79" t="s">
        <v>838</v>
      </c>
    </row>
    <row r="59" customFormat="false" ht="15" hidden="false" customHeight="false" outlineLevel="0" collapsed="false">
      <c r="B59" s="81" t="s">
        <v>839</v>
      </c>
      <c r="C59" s="92" t="n">
        <f aca="false">ECONOMIA!C26</f>
        <v>6000.64354392249</v>
      </c>
      <c r="D59" s="92" t="n">
        <f aca="false">ECONOMIA!D26</f>
        <v>6000.64354392249</v>
      </c>
      <c r="E59" s="92" t="n">
        <f aca="false">ECONOMIA!E26</f>
        <v>5992.80133608224</v>
      </c>
      <c r="F59" s="92" t="n">
        <f aca="false">ECONOMIA!F26</f>
        <v>5992.80133608224</v>
      </c>
      <c r="G59" s="92" t="n">
        <f aca="false">ECONOMIA!G26</f>
        <v>5442.45129401962</v>
      </c>
      <c r="H59" s="92" t="n">
        <f aca="false">ECONOMIA!H26</f>
        <v>4704.51814131062</v>
      </c>
      <c r="I59" s="92" t="n">
        <f aca="false">ECONOMIA!I26</f>
        <v>6000.64354392249</v>
      </c>
      <c r="J59" s="92" t="n">
        <f aca="false">ECONOMIA!J26</f>
        <v>5968.37018228556</v>
      </c>
      <c r="K59" s="92" t="n">
        <f aca="false">ECONOMIA!K26</f>
        <v>6000.64354392249</v>
      </c>
      <c r="L59" s="92" t="n">
        <f aca="false">ECONOMIA!L26</f>
        <v>5988.72947711613</v>
      </c>
      <c r="M59" s="92" t="n">
        <f aca="false">ECONOMIA!M26</f>
        <v>6000.64354392249</v>
      </c>
      <c r="N59" s="92" t="n">
        <f aca="false">ECONOMIA!N26</f>
        <v>6000.64354392249</v>
      </c>
      <c r="O59" s="92"/>
      <c r="P59" s="80"/>
    </row>
    <row r="60" customFormat="false" ht="15" hidden="false" customHeight="false" outlineLevel="0" collapsed="false">
      <c r="B60" s="76" t="s">
        <v>840</v>
      </c>
      <c r="C60" s="101" t="n">
        <f aca="false">C59/12</f>
        <v>500.053628660208</v>
      </c>
      <c r="D60" s="101" t="n">
        <f aca="false">D59/12</f>
        <v>500.053628660208</v>
      </c>
      <c r="E60" s="101" t="n">
        <f aca="false">E59/12</f>
        <v>499.400111340187</v>
      </c>
      <c r="F60" s="101" t="n">
        <f aca="false">F59/12</f>
        <v>499.400111340187</v>
      </c>
      <c r="G60" s="101" t="n">
        <f aca="false">G59/12</f>
        <v>453.537607834968</v>
      </c>
      <c r="H60" s="101" t="n">
        <f aca="false">H59/12</f>
        <v>392.043178442552</v>
      </c>
      <c r="I60" s="101" t="n">
        <f aca="false">I59/12</f>
        <v>500.053628660208</v>
      </c>
      <c r="J60" s="101" t="n">
        <f aca="false">J59/12</f>
        <v>497.36418185713</v>
      </c>
      <c r="K60" s="101" t="n">
        <f aca="false">K59/12</f>
        <v>500.053628660208</v>
      </c>
      <c r="L60" s="101" t="n">
        <f aca="false">L59/12</f>
        <v>499.060789759677</v>
      </c>
      <c r="M60" s="101" t="n">
        <f aca="false">M59/12</f>
        <v>500.053628660208</v>
      </c>
      <c r="N60" s="101" t="n">
        <f aca="false">N59/12</f>
        <v>500.053628660208</v>
      </c>
      <c r="O60" s="101"/>
      <c r="P60" s="80"/>
    </row>
    <row r="61" customFormat="false" ht="19.4" hidden="false" customHeight="false" outlineLevel="0" collapsed="false">
      <c r="B61" s="76" t="s">
        <v>841</v>
      </c>
      <c r="C61" s="102" t="n">
        <f aca="false">IFERROR(C34/C59,0)</f>
        <v>4.9659173690096</v>
      </c>
      <c r="D61" s="102" t="n">
        <f aca="false">IFERROR(D34/D59,0)</f>
        <v>4.81246716100106</v>
      </c>
      <c r="E61" s="102" t="n">
        <f aca="false">IFERROR(E34/E59,0)</f>
        <v>3.09043116255003</v>
      </c>
      <c r="F61" s="102" t="n">
        <f aca="false">IFERROR(F34/F59,0)</f>
        <v>3.25729803230242</v>
      </c>
      <c r="G61" s="102" t="n">
        <f aca="false">IFERROR(G34/G59,0)</f>
        <v>3.922664411064</v>
      </c>
      <c r="H61" s="102" t="n">
        <f aca="false">IFERROR(H34/H59,0)</f>
        <v>3.1645408844895</v>
      </c>
      <c r="I61" s="102" t="n">
        <f aca="false">IFERROR(I34/I59,0)</f>
        <v>3.51304653337567</v>
      </c>
      <c r="J61" s="102" t="n">
        <f aca="false">IFERROR(J34/J59,0)</f>
        <v>3.55758764143362</v>
      </c>
      <c r="K61" s="102" t="n">
        <f aca="false">IFERROR(K34/K59,0)</f>
        <v>3.23132008393306</v>
      </c>
      <c r="L61" s="102" t="n">
        <f aca="false">IFERROR(L34/L59,0)</f>
        <v>3.12253209490521</v>
      </c>
      <c r="M61" s="102" t="n">
        <f aca="false">IFERROR(M34/M59,0)</f>
        <v>3.81301435963041</v>
      </c>
      <c r="N61" s="102" t="n">
        <f aca="false">IFERROR(N34/N59,0)</f>
        <v>4.11298218588516</v>
      </c>
      <c r="O61" s="102"/>
      <c r="P61" s="80" t="s">
        <v>842</v>
      </c>
    </row>
    <row r="62" customFormat="false" ht="15" hidden="false" customHeight="false" outlineLevel="0" collapsed="false">
      <c r="B62" s="81" t="s">
        <v>843</v>
      </c>
      <c r="C62" s="103" t="n">
        <f aca="false">PROJECAO!E10</f>
        <v>34178.1281397502</v>
      </c>
      <c r="D62" s="103" t="n">
        <f aca="false">PROJECAO!H10</f>
        <v>34178.1281397502</v>
      </c>
      <c r="E62" s="103" t="n">
        <f aca="false">PROJECAO!K10</f>
        <v>34133.4609332247</v>
      </c>
      <c r="F62" s="103" t="n">
        <f aca="false">PROJECAO!N10</f>
        <v>34133.4609332247</v>
      </c>
      <c r="G62" s="103" t="n">
        <f aca="false">PROJECAO!Q10</f>
        <v>30998.8081044653</v>
      </c>
      <c r="H62" s="103" t="n">
        <f aca="false">PROJECAO!T10</f>
        <v>26795.7299400571</v>
      </c>
      <c r="I62" s="103" t="n">
        <f aca="false">PROJECAO!W10</f>
        <v>34178.1281397502</v>
      </c>
      <c r="J62" s="103" t="n">
        <f aca="false">PROJECAO!Z10</f>
        <v>33994.3073409553</v>
      </c>
      <c r="K62" s="103" t="n">
        <f aca="false">PROJECAO!AC10</f>
        <v>34178.1281397502</v>
      </c>
      <c r="L62" s="103" t="n">
        <f aca="false">PROJECAO!AF10</f>
        <v>34110.2686678464</v>
      </c>
      <c r="M62" s="103" t="n">
        <f aca="false">PROJECAO!AI10</f>
        <v>34178.1281397502</v>
      </c>
      <c r="N62" s="103" t="n">
        <f aca="false">PROJECAO!AL10</f>
        <v>34178.1281397502</v>
      </c>
      <c r="O62" s="103"/>
      <c r="P62" s="80"/>
    </row>
    <row r="63" customFormat="false" ht="15" hidden="false" customHeight="false" outlineLevel="0" collapsed="false">
      <c r="B63" s="81" t="s">
        <v>844</v>
      </c>
      <c r="C63" s="103" t="n">
        <f aca="false">PROJECAO!E15</f>
        <v>81045.8111528304</v>
      </c>
      <c r="D63" s="103" t="n">
        <f aca="false">PROJECAO!H15</f>
        <v>81045.8111528304</v>
      </c>
      <c r="E63" s="103" t="n">
        <f aca="false">PROJECAO!K15</f>
        <v>80939.8928307388</v>
      </c>
      <c r="F63" s="103" t="n">
        <f aca="false">PROJECAO!N15</f>
        <v>80939.8928307388</v>
      </c>
      <c r="G63" s="103" t="n">
        <f aca="false">PROJECAO!Q15</f>
        <v>73506.7624922213</v>
      </c>
      <c r="H63" s="103" t="n">
        <f aca="false">PROJECAO!T15</f>
        <v>63540.0996667917</v>
      </c>
      <c r="I63" s="103" t="n">
        <f aca="false">PROJECAO!W15</f>
        <v>81045.8111528304</v>
      </c>
      <c r="J63" s="103" t="n">
        <f aca="false">PROJECAO!Z15</f>
        <v>80609.9211098128</v>
      </c>
      <c r="K63" s="103" t="n">
        <f aca="false">PROJECAO!AC15</f>
        <v>81045.8111528304</v>
      </c>
      <c r="L63" s="103" t="n">
        <f aca="false">PROJECAO!AF15</f>
        <v>80884.8975439178</v>
      </c>
      <c r="M63" s="103" t="n">
        <f aca="false">PROJECAO!AI15</f>
        <v>81045.8111528304</v>
      </c>
      <c r="N63" s="103" t="n">
        <f aca="false">PROJECAO!AL15</f>
        <v>81045.8111528304</v>
      </c>
      <c r="O63" s="103"/>
      <c r="P63" s="80"/>
    </row>
    <row r="64" customFormat="false" ht="15" hidden="false" customHeight="false" outlineLevel="0" collapsed="false">
      <c r="B64" s="81" t="s">
        <v>845</v>
      </c>
      <c r="C64" s="103" t="n">
        <f aca="false">PROJECAO!E25</f>
        <v>233444.416896246</v>
      </c>
      <c r="D64" s="103" t="n">
        <f aca="false">PROJECAO!H25</f>
        <v>233444.416896246</v>
      </c>
      <c r="E64" s="103" t="n">
        <f aca="false">PROJECAO!K25</f>
        <v>233139.329679675</v>
      </c>
      <c r="F64" s="103" t="n">
        <f aca="false">PROJECAO!N25</f>
        <v>233139.329679675</v>
      </c>
      <c r="G64" s="103" t="n">
        <f aca="false">PROJECAO!Q25</f>
        <v>211728.935324847</v>
      </c>
      <c r="H64" s="103" t="n">
        <f aca="false">PROJECAO!T25</f>
        <v>183020.952042449</v>
      </c>
      <c r="I64" s="103" t="n">
        <f aca="false">PROJECAO!W25</f>
        <v>233444.416896246</v>
      </c>
      <c r="J64" s="103" t="n">
        <f aca="false">PROJECAO!Z25</f>
        <v>232188.878880453</v>
      </c>
      <c r="K64" s="103" t="n">
        <f aca="false">PROJECAO!AC25</f>
        <v>233444.416896246</v>
      </c>
      <c r="L64" s="103" t="n">
        <f aca="false">PROJECAO!AF25</f>
        <v>232980.921213138</v>
      </c>
      <c r="M64" s="103" t="n">
        <f aca="false">PROJECAO!AI25</f>
        <v>233444.416896246</v>
      </c>
      <c r="N64" s="103" t="n">
        <f aca="false">PROJECAO!AL25</f>
        <v>233444.416896246</v>
      </c>
      <c r="O64" s="103"/>
      <c r="P64" s="80"/>
    </row>
    <row r="65" customFormat="false" ht="19.4" hidden="false" customHeight="false" outlineLevel="0" collapsed="false">
      <c r="B65" s="76" t="s">
        <v>846</v>
      </c>
      <c r="C65" s="104" t="n">
        <f aca="false">C64-C34</f>
        <v>203645.716896246</v>
      </c>
      <c r="D65" s="104" t="n">
        <f aca="false">D64-D34</f>
        <v>204566.516896246</v>
      </c>
      <c r="E65" s="104" t="n">
        <f aca="false">E64-E34</f>
        <v>214618.989679675</v>
      </c>
      <c r="F65" s="104" t="n">
        <f aca="false">F64-F34</f>
        <v>213618.989679675</v>
      </c>
      <c r="G65" s="104" t="n">
        <f aca="false">G64-G34</f>
        <v>190380.025324847</v>
      </c>
      <c r="H65" s="104" t="n">
        <f aca="false">H64-H34</f>
        <v>168133.312042449</v>
      </c>
      <c r="I65" s="104" t="n">
        <f aca="false">I64-I34</f>
        <v>212363.876896246</v>
      </c>
      <c r="J65" s="104" t="n">
        <f aca="false">J64-J34</f>
        <v>210955.878880453</v>
      </c>
      <c r="K65" s="104" t="n">
        <f aca="false">K64-K34</f>
        <v>214054.416896246</v>
      </c>
      <c r="L65" s="104" t="n">
        <f aca="false">L64-L34</f>
        <v>214280.921213138</v>
      </c>
      <c r="M65" s="104" t="n">
        <f aca="false">M64-M34</f>
        <v>210563.876896246</v>
      </c>
      <c r="N65" s="104" t="n">
        <f aca="false">N64-N34</f>
        <v>208763.876896246</v>
      </c>
      <c r="O65" s="104"/>
      <c r="P65" s="80" t="s">
        <v>847</v>
      </c>
    </row>
    <row r="66" customFormat="false" ht="15" hidden="false" customHeight="false" outlineLevel="0" collapsed="false">
      <c r="B66" s="81" t="s">
        <v>848</v>
      </c>
      <c r="C66" s="97" t="n">
        <f aca="false">IFERROR(C65/C34,0)</f>
        <v>6.83404701870369</v>
      </c>
      <c r="D66" s="97" t="n">
        <f aca="false">IFERROR(D65/D34,0)</f>
        <v>7.08384324678199</v>
      </c>
      <c r="E66" s="97" t="n">
        <f aca="false">IFERROR(E65/E34,0)</f>
        <v>11.588285618929</v>
      </c>
      <c r="F66" s="97" t="n">
        <f aca="false">IFERROR(F65/F34,0)</f>
        <v>10.9434051701802</v>
      </c>
      <c r="G66" s="97" t="n">
        <f aca="false">IFERROR(G65/G34,0)</f>
        <v>8.91755248042393</v>
      </c>
      <c r="H66" s="97" t="n">
        <f aca="false">IFERROR(H65/H34,0)</f>
        <v>11.2934831875602</v>
      </c>
      <c r="I66" s="97" t="n">
        <f aca="false">IFERROR(I65/I34,0)</f>
        <v>10.0739296477341</v>
      </c>
      <c r="J66" s="97" t="n">
        <f aca="false">IFERROR(J65/J34,0)</f>
        <v>9.93528370369015</v>
      </c>
      <c r="K66" s="97" t="n">
        <f aca="false">IFERROR(K65/K34,0)</f>
        <v>11.0394232540611</v>
      </c>
      <c r="L66" s="97" t="n">
        <f aca="false">IFERROR(L65/L34,0)</f>
        <v>11.4588727921464</v>
      </c>
      <c r="M66" s="97" t="n">
        <f aca="false">IFERROR(M65/M34,0)</f>
        <v>9.20274944980519</v>
      </c>
      <c r="N66" s="97" t="n">
        <f aca="false">IFERROR(N65/N34,0)</f>
        <v>8.45864299955534</v>
      </c>
      <c r="O66" s="97"/>
      <c r="P66" s="80"/>
    </row>
    <row r="68" customFormat="false" ht="15" hidden="false" customHeight="false" outlineLevel="0" collapsed="false">
      <c r="B68" s="7" t="s">
        <v>849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customFormat="false" ht="15" hidden="false" customHeight="false" outlineLevel="0" collapsed="false">
      <c r="B69" s="81" t="s">
        <v>850</v>
      </c>
      <c r="C69" s="88" t="n">
        <f aca="false">C16*1.35</f>
        <v>8.1</v>
      </c>
      <c r="D69" s="88" t="n">
        <f aca="false">D16*1.35</f>
        <v>8.1</v>
      </c>
      <c r="E69" s="88" t="n">
        <f aca="false">E16*1.35</f>
        <v>6.75</v>
      </c>
      <c r="F69" s="88" t="n">
        <f aca="false">F16*1.35</f>
        <v>6.75</v>
      </c>
      <c r="G69" s="88" t="n">
        <f aca="false">G16*1.35</f>
        <v>5.4</v>
      </c>
      <c r="H69" s="88" t="n">
        <f aca="false">H16*1.35</f>
        <v>4.05</v>
      </c>
      <c r="I69" s="88" t="n">
        <f aca="false">I16*1.35</f>
        <v>12.15</v>
      </c>
      <c r="J69" s="88" t="n">
        <f aca="false">J16*1.35</f>
        <v>6.75</v>
      </c>
      <c r="K69" s="88" t="n">
        <f aca="false">K16*1.35</f>
        <v>10.125</v>
      </c>
      <c r="L69" s="88" t="n">
        <f aca="false">L16*1.35</f>
        <v>8.1</v>
      </c>
      <c r="M69" s="88" t="n">
        <f aca="false">M16*1.35</f>
        <v>12.15</v>
      </c>
      <c r="N69" s="88" t="n">
        <f aca="false">N16*1.35</f>
        <v>12.15</v>
      </c>
      <c r="O69" s="88"/>
      <c r="P69" s="80"/>
    </row>
    <row r="70" customFormat="false" ht="32.8" hidden="false" customHeight="false" outlineLevel="0" collapsed="false">
      <c r="B70" s="76" t="s">
        <v>851</v>
      </c>
      <c r="C70" s="99" t="n">
        <f aca="false">MAX(0,ROUNDDOWN((C69-C14)*1000/C12,0))</f>
        <v>1</v>
      </c>
      <c r="D70" s="99" t="n">
        <f aca="false">MAX(0,ROUNDDOWN((D69-D14)*1000/D12,0))</f>
        <v>1</v>
      </c>
      <c r="E70" s="99" t="n">
        <f aca="false">MAX(0,ROUNDDOWN((E69-E14)*1000/E12,0))</f>
        <v>0</v>
      </c>
      <c r="F70" s="99" t="n">
        <f aca="false">MAX(0,ROUNDDOWN((F69-F14)*1000/F12,0))</f>
        <v>0</v>
      </c>
      <c r="G70" s="99" t="n">
        <f aca="false">MAX(0,ROUNDDOWN((G69-G14)*1000/G12,0))</f>
        <v>0</v>
      </c>
      <c r="H70" s="99" t="n">
        <f aca="false">MAX(0,ROUNDDOWN((H69-H14)*1000/H12,0))</f>
        <v>0</v>
      </c>
      <c r="I70" s="99" t="n">
        <f aca="false">MAX(0,ROUNDDOWN((I69-I14)*1000/I12,0))</f>
        <v>8</v>
      </c>
      <c r="J70" s="99" t="n">
        <f aca="false">MAX(0,ROUNDDOWN((J69-J14)*1000/J12,0))</f>
        <v>1</v>
      </c>
      <c r="K70" s="99" t="n">
        <f aca="false">MAX(0,ROUNDDOWN((K69-K14)*1000/K12,0))</f>
        <v>5</v>
      </c>
      <c r="L70" s="99" t="n">
        <f aca="false">MAX(0,ROUNDDOWN((L69-L14)*1000/L12,0))</f>
        <v>3</v>
      </c>
      <c r="M70" s="99" t="n">
        <f aca="false">MAX(0,ROUNDDOWN((M69-M14)*1000/M12,0))</f>
        <v>6</v>
      </c>
      <c r="N70" s="99" t="n">
        <f aca="false">MAX(0,ROUNDDOWN((N69-N14)*1000/N12,0))</f>
        <v>4</v>
      </c>
      <c r="O70" s="99"/>
      <c r="P70" s="79" t="s">
        <v>852</v>
      </c>
    </row>
    <row r="71" customFormat="false" ht="28.35" hidden="false" customHeight="false" outlineLevel="0" collapsed="false">
      <c r="B71" s="81" t="s">
        <v>853</v>
      </c>
      <c r="C71" s="82" t="s">
        <v>854</v>
      </c>
      <c r="D71" s="82" t="s">
        <v>854</v>
      </c>
      <c r="E71" s="82" t="s">
        <v>855</v>
      </c>
      <c r="F71" s="82" t="s">
        <v>855</v>
      </c>
      <c r="G71" s="82" t="s">
        <v>855</v>
      </c>
      <c r="H71" s="82" t="s">
        <v>856</v>
      </c>
      <c r="I71" s="82" t="s">
        <v>857</v>
      </c>
      <c r="J71" s="82" t="s">
        <v>858</v>
      </c>
      <c r="K71" s="82" t="s">
        <v>859</v>
      </c>
      <c r="L71" s="82" t="s">
        <v>860</v>
      </c>
      <c r="M71" s="82" t="s">
        <v>861</v>
      </c>
      <c r="N71" s="82" t="s">
        <v>862</v>
      </c>
      <c r="O71" s="82"/>
      <c r="P71" s="80" t="s">
        <v>863</v>
      </c>
    </row>
    <row r="72" customFormat="false" ht="15" hidden="false" customHeight="false" outlineLevel="0" collapsed="false">
      <c r="B72" s="81" t="s">
        <v>864</v>
      </c>
      <c r="C72" s="85" t="n">
        <f aca="false">C70*C12/1000*GERACAO!$I$17</f>
        <v>777.525431925</v>
      </c>
      <c r="D72" s="85" t="n">
        <f aca="false">D70*D12/1000*GERACAO!$I$17</f>
        <v>764.882741975</v>
      </c>
      <c r="E72" s="85" t="n">
        <f aca="false">E70*E12/1000*GERACAO!$I$17</f>
        <v>0</v>
      </c>
      <c r="F72" s="85" t="n">
        <f aca="false">F70*F12/1000*GERACAO!$I$17</f>
        <v>0</v>
      </c>
      <c r="G72" s="85" t="n">
        <f aca="false">G70*G12/1000*GERACAO!$I$17</f>
        <v>0</v>
      </c>
      <c r="H72" s="85" t="n">
        <f aca="false">H70*H12/1000*GERACAO!$I$17</f>
        <v>0</v>
      </c>
      <c r="I72" s="85" t="n">
        <f aca="false">I70*I12/1000*GERACAO!$I$17</f>
        <v>6574.198774</v>
      </c>
      <c r="J72" s="85" t="n">
        <f aca="false">J70*J12/1000*GERACAO!$I$17</f>
        <v>745.91870705</v>
      </c>
      <c r="K72" s="85" t="n">
        <f aca="false">K70*K12/1000*GERACAO!$I$17</f>
        <v>3919.2338845</v>
      </c>
      <c r="L72" s="85" t="n">
        <f aca="false">L70*L12/1000*GERACAO!$I$17</f>
        <v>2332.576295775</v>
      </c>
      <c r="M72" s="85" t="n">
        <f aca="false">M70*M12/1000*GERACAO!$I$17</f>
        <v>4930.6490805</v>
      </c>
      <c r="N72" s="85" t="n">
        <f aca="false">N70*N12/1000*GERACAO!$I$17</f>
        <v>3287.099387</v>
      </c>
      <c r="O72" s="85"/>
      <c r="P72" s="80"/>
    </row>
    <row r="73" customFormat="false" ht="23.85" hidden="false" customHeight="false" outlineLevel="0" collapsed="false">
      <c r="B73" s="76" t="s">
        <v>865</v>
      </c>
      <c r="C73" s="77" t="str">
        <f aca="false">IF(C18&gt;1.35,"JA SOBRECARREGADO",IF(C18&lt;1.1,"SUBAPROVEITADO","OK"))</f>
        <v>OK</v>
      </c>
      <c r="D73" s="77" t="str">
        <f aca="false">IF(D18&gt;1.35,"JA SOBRECARREGADO",IF(D18&lt;1.1,"SUBAPROVEITADO","OK"))</f>
        <v>OK</v>
      </c>
      <c r="E73" s="77" t="str">
        <f aca="false">IF(E18&gt;1.35,"JA SOBRECARREGADO",IF(E18&lt;1.1,"SUBAPROVEITADO","OK"))</f>
        <v>OK</v>
      </c>
      <c r="F73" s="77" t="str">
        <f aca="false">IF(F18&gt;1.35,"JA SOBRECARREGADO",IF(F18&lt;1.1,"SUBAPROVEITADO","OK"))</f>
        <v>OK</v>
      </c>
      <c r="G73" s="77" t="str">
        <f aca="false">IF(G18&gt;1.35,"JA SOBRECARREGADO",IF(G18&lt;1.1,"SUBAPROVEITADO","OK"))</f>
        <v>OK</v>
      </c>
      <c r="H73" s="77" t="str">
        <f aca="false">IF(H18&gt;1.35,"JA SOBRECARREGADO",IF(H18&lt;1.1,"SUBAPROVEITADO","OK"))</f>
        <v>JA SOBRECARREGADO</v>
      </c>
      <c r="I73" s="77" t="str">
        <f aca="false">IF(I18&gt;1.35,"JA SOBRECARREGADO",IF(I18&lt;1.1,"SUBAPROVEITADO","OK"))</f>
        <v>SUBAPROVEITADO</v>
      </c>
      <c r="J73" s="77" t="str">
        <f aca="false">IF(J18&gt;1.35,"JA SOBRECARREGADO",IF(J18&lt;1.1,"SUBAPROVEITADO","OK"))</f>
        <v>OK</v>
      </c>
      <c r="K73" s="77" t="str">
        <f aca="false">IF(K18&gt;1.35,"JA SOBRECARREGADO",IF(K18&lt;1.1,"SUBAPROVEITADO","OK"))</f>
        <v>SUBAPROVEITADO</v>
      </c>
      <c r="L73" s="77" t="str">
        <f aca="false">IF(L18&gt;1.35,"JA SOBRECARREGADO",IF(L18&lt;1.1,"SUBAPROVEITADO","OK"))</f>
        <v>SUBAPROVEITADO</v>
      </c>
      <c r="M73" s="77" t="str">
        <f aca="false">IF(M18&gt;1.35,"JA SOBRECARREGADO",IF(M18&lt;1.1,"SUBAPROVEITADO","OK"))</f>
        <v>SUBAPROVEITADO</v>
      </c>
      <c r="N73" s="77" t="str">
        <f aca="false">IF(N18&gt;1.35,"JA SOBRECARREGADO",IF(N18&lt;1.1,"SUBAPROVEITADO","OK"))</f>
        <v>SUBAPROVEITADO</v>
      </c>
      <c r="O73" s="77"/>
      <c r="P73" s="80" t="s">
        <v>866</v>
      </c>
    </row>
    <row r="75" customFormat="false" ht="15" hidden="false" customHeight="false" outlineLevel="0" collapsed="false">
      <c r="B75" s="7" t="s">
        <v>867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customFormat="false" ht="15" hidden="false" customHeight="false" outlineLevel="0" collapsed="false">
      <c r="B76" s="21" t="s">
        <v>868</v>
      </c>
      <c r="C76" s="35" t="n">
        <f aca="false">F29-E29</f>
        <v>1000</v>
      </c>
    </row>
    <row r="77" customFormat="false" ht="15" hidden="false" customHeight="false" outlineLevel="0" collapsed="false">
      <c r="B77" s="4" t="s">
        <v>869</v>
      </c>
      <c r="C77" s="29" t="n">
        <f aca="false">IFERROR(F61-E61,0)</f>
        <v>0.166866869752393</v>
      </c>
    </row>
    <row r="78" customFormat="false" ht="15" hidden="false" customHeight="false" outlineLevel="0" collapsed="false">
      <c r="B78" s="4" t="s">
        <v>870</v>
      </c>
      <c r="C78" s="105" t="n">
        <f aca="false">F65-E65</f>
        <v>-1000</v>
      </c>
    </row>
    <row r="80" customFormat="false" ht="15" hidden="false" customHeight="false" outlineLevel="0" collapsed="false">
      <c r="B80" s="5" t="s">
        <v>871</v>
      </c>
    </row>
    <row r="81" customFormat="false" ht="15" hidden="false" customHeight="false" outlineLevel="0" collapsed="false">
      <c r="B81" s="4" t="s">
        <v>872</v>
      </c>
    </row>
    <row r="82" customFormat="false" ht="15" hidden="false" customHeight="false" outlineLevel="0" collapsed="false">
      <c r="B82" s="4" t="s">
        <v>873</v>
      </c>
    </row>
    <row r="83" customFormat="false" ht="15" hidden="false" customHeight="false" outlineLevel="0" collapsed="false">
      <c r="B83" s="4" t="s">
        <v>874</v>
      </c>
    </row>
    <row r="84" customFormat="false" ht="15" hidden="false" customHeight="false" outlineLevel="0" collapsed="false">
      <c r="B84" s="4"/>
    </row>
    <row r="85" customFormat="false" ht="15" hidden="false" customHeight="false" outlineLevel="0" collapsed="false">
      <c r="B85" s="5" t="s">
        <v>875</v>
      </c>
    </row>
    <row r="86" customFormat="false" ht="15" hidden="false" customHeight="false" outlineLevel="0" collapsed="false">
      <c r="B86" s="4" t="s">
        <v>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5" min="3" style="0" width="20"/>
    <col collapsed="false" customWidth="true" hidden="false" outlineLevel="0" max="6" min="6" style="0" width="58"/>
  </cols>
  <sheetData>
    <row r="1" customFormat="false" ht="17.35" hidden="false" customHeight="false" outlineLevel="0" collapsed="false">
      <c r="A1" s="1" t="s">
        <v>877</v>
      </c>
    </row>
    <row r="2" customFormat="false" ht="15" hidden="false" customHeight="false" outlineLevel="0" collapsed="false">
      <c r="A2" s="2" t="s">
        <v>878</v>
      </c>
    </row>
    <row r="4" customFormat="false" ht="49.5" hidden="false" customHeight="true" outlineLevel="0" collapsed="false">
      <c r="B4" s="17" t="s">
        <v>628</v>
      </c>
      <c r="C4" s="17" t="s">
        <v>879</v>
      </c>
      <c r="D4" s="17" t="s">
        <v>880</v>
      </c>
      <c r="E4" s="17" t="s">
        <v>881</v>
      </c>
      <c r="F4" s="17" t="s">
        <v>882</v>
      </c>
    </row>
    <row r="5" customFormat="false" ht="23.85" hidden="false" customHeight="false" outlineLevel="0" collapsed="false">
      <c r="B5" s="18" t="s">
        <v>883</v>
      </c>
      <c r="C5" s="54" t="s">
        <v>884</v>
      </c>
      <c r="D5" s="54" t="s">
        <v>885</v>
      </c>
      <c r="E5" s="54" t="s">
        <v>886</v>
      </c>
      <c r="F5" s="106" t="s">
        <v>887</v>
      </c>
    </row>
    <row r="6" customFormat="false" ht="23.85" hidden="false" customHeight="false" outlineLevel="0" collapsed="false">
      <c r="B6" s="18" t="s">
        <v>714</v>
      </c>
      <c r="C6" s="54" t="s">
        <v>888</v>
      </c>
      <c r="D6" s="54" t="s">
        <v>888</v>
      </c>
      <c r="E6" s="54" t="s">
        <v>889</v>
      </c>
      <c r="F6" s="106" t="s">
        <v>890</v>
      </c>
    </row>
    <row r="7" customFormat="false" ht="32.8" hidden="false" customHeight="false" outlineLevel="0" collapsed="false">
      <c r="B7" s="18" t="s">
        <v>891</v>
      </c>
      <c r="C7" s="54" t="s">
        <v>892</v>
      </c>
      <c r="D7" s="54" t="s">
        <v>892</v>
      </c>
      <c r="E7" s="54" t="s">
        <v>893</v>
      </c>
      <c r="F7" s="107" t="s">
        <v>894</v>
      </c>
    </row>
    <row r="8" customFormat="false" ht="23.85" hidden="false" customHeight="false" outlineLevel="0" collapsed="false">
      <c r="B8" s="18" t="s">
        <v>895</v>
      </c>
      <c r="C8" s="54" t="s">
        <v>896</v>
      </c>
      <c r="D8" s="54" t="s">
        <v>897</v>
      </c>
      <c r="E8" s="54" t="s">
        <v>898</v>
      </c>
      <c r="F8" s="106" t="s">
        <v>899</v>
      </c>
    </row>
    <row r="9" customFormat="false" ht="15" hidden="false" customHeight="false" outlineLevel="0" collapsed="false">
      <c r="B9" s="18" t="s">
        <v>900</v>
      </c>
      <c r="C9" s="54" t="s">
        <v>901</v>
      </c>
      <c r="D9" s="54" t="s">
        <v>901</v>
      </c>
      <c r="E9" s="54" t="s">
        <v>902</v>
      </c>
      <c r="F9" s="106" t="s">
        <v>903</v>
      </c>
    </row>
    <row r="10" customFormat="false" ht="15" hidden="false" customHeight="false" outlineLevel="0" collapsed="false">
      <c r="B10" s="18" t="s">
        <v>904</v>
      </c>
      <c r="C10" s="54" t="s">
        <v>905</v>
      </c>
      <c r="D10" s="54" t="s">
        <v>905</v>
      </c>
      <c r="E10" s="54" t="s">
        <v>906</v>
      </c>
      <c r="F10" s="106" t="s">
        <v>907</v>
      </c>
    </row>
    <row r="11" customFormat="false" ht="22.35" hidden="false" customHeight="false" outlineLevel="0" collapsed="false">
      <c r="B11" s="18" t="s">
        <v>908</v>
      </c>
      <c r="C11" s="54" t="s">
        <v>909</v>
      </c>
      <c r="D11" s="54" t="s">
        <v>910</v>
      </c>
      <c r="E11" s="54" t="s">
        <v>911</v>
      </c>
      <c r="F11" s="107" t="s">
        <v>912</v>
      </c>
    </row>
    <row r="12" customFormat="false" ht="23.85" hidden="false" customHeight="false" outlineLevel="0" collapsed="false">
      <c r="B12" s="18" t="s">
        <v>913</v>
      </c>
      <c r="C12" s="54" t="s">
        <v>914</v>
      </c>
      <c r="D12" s="54" t="s">
        <v>915</v>
      </c>
      <c r="E12" s="54" t="s">
        <v>916</v>
      </c>
      <c r="F12" s="106" t="s">
        <v>917</v>
      </c>
    </row>
    <row r="13" customFormat="false" ht="22.35" hidden="false" customHeight="false" outlineLevel="0" collapsed="false">
      <c r="B13" s="18" t="s">
        <v>918</v>
      </c>
      <c r="C13" s="54" t="s">
        <v>919</v>
      </c>
      <c r="D13" s="108" t="s">
        <v>920</v>
      </c>
      <c r="E13" s="54" t="s">
        <v>921</v>
      </c>
      <c r="F13" s="107" t="s">
        <v>922</v>
      </c>
    </row>
    <row r="14" customFormat="false" ht="15" hidden="false" customHeight="false" outlineLevel="0" collapsed="false">
      <c r="B14" s="18" t="s">
        <v>923</v>
      </c>
      <c r="C14" s="54" t="s">
        <v>924</v>
      </c>
      <c r="D14" s="54" t="s">
        <v>924</v>
      </c>
      <c r="E14" s="54" t="s">
        <v>925</v>
      </c>
      <c r="F14" s="106" t="s">
        <v>926</v>
      </c>
    </row>
    <row r="15" customFormat="false" ht="23.85" hidden="false" customHeight="false" outlineLevel="0" collapsed="false">
      <c r="B15" s="18" t="s">
        <v>927</v>
      </c>
      <c r="C15" s="108" t="s">
        <v>920</v>
      </c>
      <c r="D15" s="108" t="s">
        <v>920</v>
      </c>
      <c r="E15" s="54" t="s">
        <v>928</v>
      </c>
      <c r="F15" s="107" t="s">
        <v>929</v>
      </c>
    </row>
    <row r="16" customFormat="false" ht="15" hidden="false" customHeight="false" outlineLevel="0" collapsed="false">
      <c r="B16" s="18" t="s">
        <v>930</v>
      </c>
      <c r="C16" s="54" t="s">
        <v>931</v>
      </c>
      <c r="D16" s="54" t="s">
        <v>931</v>
      </c>
      <c r="E16" s="54" t="s">
        <v>932</v>
      </c>
      <c r="F16" s="106" t="s">
        <v>933</v>
      </c>
    </row>
    <row r="17" customFormat="false" ht="15" hidden="false" customHeight="false" outlineLevel="0" collapsed="false">
      <c r="B17" s="18" t="s">
        <v>934</v>
      </c>
      <c r="C17" s="108" t="s">
        <v>920</v>
      </c>
      <c r="D17" s="108" t="s">
        <v>920</v>
      </c>
      <c r="E17" s="54" t="s">
        <v>935</v>
      </c>
      <c r="F17" s="107" t="s">
        <v>936</v>
      </c>
    </row>
    <row r="18" customFormat="false" ht="23.85" hidden="false" customHeight="false" outlineLevel="0" collapsed="false">
      <c r="B18" s="18" t="s">
        <v>937</v>
      </c>
      <c r="C18" s="54" t="s">
        <v>938</v>
      </c>
      <c r="D18" s="108" t="s">
        <v>939</v>
      </c>
      <c r="E18" s="54" t="s">
        <v>940</v>
      </c>
      <c r="F18" s="107" t="s">
        <v>941</v>
      </c>
    </row>
    <row r="19" customFormat="false" ht="19.4" hidden="false" customHeight="false" outlineLevel="0" collapsed="false">
      <c r="B19" s="18" t="s">
        <v>942</v>
      </c>
      <c r="C19" s="54" t="s">
        <v>943</v>
      </c>
      <c r="D19" s="54" t="s">
        <v>944</v>
      </c>
      <c r="E19" s="54" t="s">
        <v>945</v>
      </c>
      <c r="F19" s="106" t="s">
        <v>946</v>
      </c>
    </row>
    <row r="20" customFormat="false" ht="19.4" hidden="false" customHeight="false" outlineLevel="0" collapsed="false">
      <c r="B20" s="18" t="s">
        <v>947</v>
      </c>
      <c r="C20" s="54" t="s">
        <v>948</v>
      </c>
      <c r="D20" s="54" t="s">
        <v>948</v>
      </c>
      <c r="E20" s="54" t="s">
        <v>948</v>
      </c>
      <c r="F20" s="106" t="s">
        <v>949</v>
      </c>
    </row>
    <row r="22" customFormat="false" ht="15" hidden="false" customHeight="false" outlineLevel="0" collapsed="false">
      <c r="B22" s="3" t="s">
        <v>950</v>
      </c>
    </row>
    <row r="23" customFormat="false" ht="15" hidden="false" customHeight="false" outlineLevel="0" collapsed="false">
      <c r="B23" s="17" t="s">
        <v>951</v>
      </c>
      <c r="C23" s="17" t="s">
        <v>952</v>
      </c>
      <c r="D23" s="17" t="s">
        <v>953</v>
      </c>
      <c r="E23" s="17" t="s">
        <v>954</v>
      </c>
    </row>
    <row r="24" customFormat="false" ht="15" hidden="false" customHeight="false" outlineLevel="0" collapsed="false">
      <c r="B24" s="4" t="s">
        <v>955</v>
      </c>
      <c r="C24" s="13" t="n">
        <v>17344.82</v>
      </c>
      <c r="D24" s="13" t="n">
        <v>16588.37</v>
      </c>
      <c r="E24" s="13" t="n">
        <v>10565.21</v>
      </c>
    </row>
    <row r="25" customFormat="false" ht="15" hidden="false" customHeight="false" outlineLevel="0" collapsed="false">
      <c r="B25" s="4" t="s">
        <v>956</v>
      </c>
      <c r="C25" s="13" t="n">
        <v>732.44</v>
      </c>
      <c r="D25" s="13" t="n">
        <v>719.53</v>
      </c>
      <c r="E25" s="13" t="n">
        <v>593.7</v>
      </c>
    </row>
    <row r="26" customFormat="false" ht="15" hidden="false" customHeight="false" outlineLevel="0" collapsed="false">
      <c r="B26" s="4" t="s">
        <v>957</v>
      </c>
      <c r="C26" s="13" t="n">
        <v>151.44</v>
      </c>
      <c r="D26" s="13" t="n">
        <v>0</v>
      </c>
      <c r="E26" s="13" t="n">
        <v>0</v>
      </c>
    </row>
    <row r="27" customFormat="false" ht="15" hidden="false" customHeight="false" outlineLevel="0" collapsed="false">
      <c r="B27" s="4" t="s">
        <v>958</v>
      </c>
      <c r="C27" s="13" t="n">
        <v>0</v>
      </c>
      <c r="D27" s="13" t="n">
        <v>0</v>
      </c>
      <c r="E27" s="13" t="n">
        <v>0</v>
      </c>
    </row>
    <row r="28" customFormat="false" ht="15" hidden="false" customHeight="false" outlineLevel="0" collapsed="false">
      <c r="B28" s="21" t="s">
        <v>959</v>
      </c>
      <c r="C28" s="50" t="n">
        <f aca="false">SUM(C24:C27)</f>
        <v>18228.7</v>
      </c>
      <c r="D28" s="50" t="n">
        <f aca="false">SUM(D24:D27)</f>
        <v>17307.9</v>
      </c>
      <c r="E28" s="50" t="n">
        <f aca="false">SUM(E24:E27)</f>
        <v>11158.91</v>
      </c>
    </row>
    <row r="30" customFormat="false" ht="15" hidden="false" customHeight="false" outlineLevel="0" collapsed="false">
      <c r="B30" s="4" t="s">
        <v>960</v>
      </c>
      <c r="C30" s="47" t="n">
        <f aca="false">COMPARATIVO!C14</f>
        <v>7.38</v>
      </c>
      <c r="D30" s="47" t="n">
        <f aca="false">COMPARATIVO!D14</f>
        <v>7.26</v>
      </c>
      <c r="E30" s="47" t="n">
        <f aca="false">COMPARATIVO!G14</f>
        <v>5.35</v>
      </c>
    </row>
    <row r="31" customFormat="false" ht="15" hidden="false" customHeight="false" outlineLevel="0" collapsed="false">
      <c r="B31" s="21" t="s">
        <v>961</v>
      </c>
      <c r="C31" s="109" t="n">
        <f aca="false">IFERROR(C28/(C30*1000),0)</f>
        <v>2.4700135501355</v>
      </c>
      <c r="D31" s="109" t="n">
        <f aca="false">IFERROR(D28/(D30*1000),0)</f>
        <v>2.38400826446281</v>
      </c>
      <c r="E31" s="109" t="n">
        <f aca="false">IFERROR(E28/(E30*1000),0)</f>
        <v>2.08577757009346</v>
      </c>
    </row>
    <row r="33" customFormat="false" ht="15" hidden="false" customHeight="false" outlineLevel="0" collapsed="false">
      <c r="B33" s="4" t="s">
        <v>962</v>
      </c>
      <c r="C33" s="4" t="s">
        <v>963</v>
      </c>
    </row>
    <row r="34" customFormat="false" ht="15" hidden="false" customHeight="false" outlineLevel="0" collapsed="false">
      <c r="B34" s="21" t="s">
        <v>964</v>
      </c>
      <c r="C34" s="110" t="n">
        <f aca="false">IFERROR(7690/E28,0)</f>
        <v>0.689135408386661</v>
      </c>
      <c r="D34" s="2" t="s">
        <v>965</v>
      </c>
    </row>
    <row r="35" customFormat="false" ht="15" hidden="false" customHeight="false" outlineLevel="0" collapsed="false">
      <c r="B35" s="21" t="s">
        <v>966</v>
      </c>
      <c r="C35" s="23" t="n">
        <f aca="false">C28+790+6900/10*12</f>
        <v>27298.7</v>
      </c>
      <c r="D35" s="2" t="s">
        <v>967</v>
      </c>
    </row>
    <row r="37" customFormat="false" ht="15" hidden="false" customHeight="false" outlineLevel="0" collapsed="false">
      <c r="B37" s="3" t="s">
        <v>968</v>
      </c>
    </row>
    <row r="38" customFormat="false" ht="15" hidden="false" customHeight="false" outlineLevel="0" collapsed="false">
      <c r="B38" s="4" t="s">
        <v>969</v>
      </c>
      <c r="C38" s="15" t="n">
        <f aca="false">C28-D28</f>
        <v>920.800000000003</v>
      </c>
    </row>
    <row r="39" customFormat="false" ht="15" hidden="false" customHeight="false" outlineLevel="0" collapsed="false">
      <c r="B39" s="4" t="s">
        <v>970</v>
      </c>
      <c r="C39" s="12" t="n">
        <f aca="false">COMPARATIVO!C39-COMPARATIVO!D39</f>
        <v>151.712279400001</v>
      </c>
    </row>
    <row r="40" customFormat="false" ht="15" hidden="false" customHeight="false" outlineLevel="0" collapsed="false">
      <c r="B40" s="4" t="s">
        <v>971</v>
      </c>
      <c r="C40" s="15" t="n">
        <f aca="false">C39*ENTRADAS!C18</f>
        <v>154.969542038719</v>
      </c>
    </row>
    <row r="41" customFormat="false" ht="15" hidden="false" customHeight="false" outlineLevel="0" collapsed="false">
      <c r="B41" s="21" t="s">
        <v>972</v>
      </c>
      <c r="C41" s="36" t="n">
        <f aca="false">IFERROR(C38/C40,0)</f>
        <v>5.94181274517766</v>
      </c>
      <c r="D41" s="2" t="s">
        <v>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15" min="3" style="0" width="15"/>
    <col collapsed="false" customWidth="true" hidden="false" outlineLevel="0" max="16" min="16" style="0" width="56"/>
  </cols>
  <sheetData>
    <row r="1" customFormat="false" ht="17.35" hidden="false" customHeight="false" outlineLevel="0" collapsed="false">
      <c r="A1" s="1" t="s">
        <v>974</v>
      </c>
    </row>
    <row r="2" customFormat="false" ht="15" hidden="false" customHeight="false" outlineLevel="0" collapsed="false">
      <c r="A2" s="2" t="s">
        <v>975</v>
      </c>
    </row>
    <row r="4" customFormat="false" ht="33.75" hidden="false" customHeight="true" outlineLevel="0" collapsed="false">
      <c r="B4" s="17" t="s">
        <v>976</v>
      </c>
      <c r="C4" s="17" t="s">
        <v>977</v>
      </c>
      <c r="D4" s="17" t="s">
        <v>978</v>
      </c>
      <c r="E4" s="17" t="s">
        <v>979</v>
      </c>
      <c r="F4" s="17" t="s">
        <v>980</v>
      </c>
      <c r="G4" s="17" t="s">
        <v>981</v>
      </c>
      <c r="H4" s="17" t="s">
        <v>982</v>
      </c>
      <c r="I4" s="17" t="s">
        <v>983</v>
      </c>
      <c r="J4" s="17" t="s">
        <v>984</v>
      </c>
      <c r="K4" s="17" t="s">
        <v>985</v>
      </c>
      <c r="L4" s="17" t="s">
        <v>986</v>
      </c>
      <c r="M4" s="17" t="s">
        <v>987</v>
      </c>
      <c r="N4" s="17" t="s">
        <v>988</v>
      </c>
      <c r="O4" s="17" t="s">
        <v>989</v>
      </c>
      <c r="P4" s="17" t="s">
        <v>990</v>
      </c>
    </row>
    <row r="5" customFormat="false" ht="15" hidden="false" customHeight="false" outlineLevel="0" collapsed="false">
      <c r="B5" s="4" t="s">
        <v>991</v>
      </c>
      <c r="C5" s="39" t="n">
        <f aca="false">BYD!$G$35</f>
        <v>7960.21388431591</v>
      </c>
      <c r="D5" s="39" t="n">
        <f aca="false">BYD!$G$35</f>
        <v>7960.21388431591</v>
      </c>
      <c r="E5" s="39" t="n">
        <f aca="false">BYD!$G$35</f>
        <v>7960.21388431591</v>
      </c>
      <c r="F5" s="39" t="n">
        <f aca="false">BYD!$G$35</f>
        <v>7960.21388431591</v>
      </c>
      <c r="G5" s="39" t="n">
        <f aca="false">BYD!$G$35</f>
        <v>7960.21388431591</v>
      </c>
      <c r="H5" s="39" t="n">
        <f aca="false">BYD!$G$35</f>
        <v>7960.21388431591</v>
      </c>
      <c r="I5" s="39" t="n">
        <f aca="false">BYD!$G$35</f>
        <v>7960.21388431591</v>
      </c>
      <c r="J5" s="39" t="n">
        <f aca="false">BYD!$G$35</f>
        <v>7960.21388431591</v>
      </c>
      <c r="K5" s="39" t="n">
        <f aca="false">BYD!$G$35</f>
        <v>7960.21388431591</v>
      </c>
      <c r="L5" s="39" t="n">
        <f aca="false">BYD!$G$35</f>
        <v>7960.21388431591</v>
      </c>
      <c r="M5" s="39" t="n">
        <f aca="false">BYD!$G$35</f>
        <v>7960.21388431591</v>
      </c>
      <c r="N5" s="39" t="n">
        <f aca="false">BYD!$G$35</f>
        <v>7960.21388431591</v>
      </c>
      <c r="O5" s="111"/>
      <c r="P5" s="80" t="s">
        <v>992</v>
      </c>
    </row>
    <row r="6" customFormat="false" ht="15" hidden="false" customHeight="false" outlineLevel="0" collapsed="false">
      <c r="B6" s="4" t="s">
        <v>993</v>
      </c>
      <c r="C6" s="39" t="n">
        <f aca="false">COMPARATIVO!C39</f>
        <v>9330.3051831</v>
      </c>
      <c r="D6" s="39" t="n">
        <f aca="false">COMPARATIVO!D39</f>
        <v>9178.5929037</v>
      </c>
      <c r="E6" s="39" t="n">
        <f aca="false">COMPARATIVO!E39</f>
        <v>7838.467769</v>
      </c>
      <c r="F6" s="39" t="n">
        <f aca="false">COMPARATIVO!F39</f>
        <v>7838.467769</v>
      </c>
      <c r="G6" s="39" t="n">
        <f aca="false">COMPARATIVO!G39</f>
        <v>6763.83912325</v>
      </c>
      <c r="H6" s="39" t="n">
        <f aca="false">COMPARATIVO!H39</f>
        <v>5916.7788966</v>
      </c>
      <c r="I6" s="39" t="n">
        <f aca="false">COMPARATIVO!I39</f>
        <v>8217.7484675</v>
      </c>
      <c r="J6" s="39" t="n">
        <f aca="false">COMPARATIVO!J39</f>
        <v>7459.1870705</v>
      </c>
      <c r="K6" s="39" t="n">
        <f aca="false">COMPARATIVO!K39</f>
        <v>8622.3145459</v>
      </c>
      <c r="L6" s="39" t="n">
        <f aca="false">COMPARATIVO!L39</f>
        <v>7775.25431925</v>
      </c>
      <c r="M6" s="39" t="n">
        <f aca="false">COMPARATIVO!M39</f>
        <v>9861.298161</v>
      </c>
      <c r="N6" s="39" t="n">
        <f aca="false">COMPARATIVO!N39</f>
        <v>11504.8478545</v>
      </c>
      <c r="O6" s="111"/>
      <c r="P6" s="80" t="s">
        <v>994</v>
      </c>
    </row>
    <row r="7" customFormat="false" ht="15" hidden="false" customHeight="false" outlineLevel="0" collapsed="false">
      <c r="B7" s="4" t="s">
        <v>995</v>
      </c>
      <c r="C7" s="112" t="n">
        <f aca="false">ENTRADAS!$C$18</f>
        <v>1.02147</v>
      </c>
      <c r="D7" s="112" t="n">
        <f aca="false">ENTRADAS!$C$18</f>
        <v>1.02147</v>
      </c>
      <c r="E7" s="112" t="n">
        <f aca="false">ENTRADAS!$C$18</f>
        <v>1.02147</v>
      </c>
      <c r="F7" s="112" t="n">
        <f aca="false">ENTRADAS!$C$18</f>
        <v>1.02147</v>
      </c>
      <c r="G7" s="112" t="n">
        <f aca="false">ENTRADAS!$C$18</f>
        <v>1.02147</v>
      </c>
      <c r="H7" s="112" t="n">
        <f aca="false">ENTRADAS!$C$18</f>
        <v>1.02147</v>
      </c>
      <c r="I7" s="112" t="n">
        <f aca="false">ENTRADAS!$C$18</f>
        <v>1.02147</v>
      </c>
      <c r="J7" s="112" t="n">
        <f aca="false">ENTRADAS!$C$18</f>
        <v>1.02147</v>
      </c>
      <c r="K7" s="112" t="n">
        <f aca="false">ENTRADAS!$C$18</f>
        <v>1.02147</v>
      </c>
      <c r="L7" s="112" t="n">
        <f aca="false">ENTRADAS!$C$18</f>
        <v>1.02147</v>
      </c>
      <c r="M7" s="112" t="n">
        <f aca="false">ENTRADAS!$C$18</f>
        <v>1.02147</v>
      </c>
      <c r="N7" s="112" t="n">
        <f aca="false">ENTRADAS!$C$18</f>
        <v>1.02147</v>
      </c>
      <c r="O7" s="111"/>
      <c r="P7" s="80" t="s">
        <v>996</v>
      </c>
    </row>
    <row r="8" customFormat="false" ht="15" hidden="false" customHeight="false" outlineLevel="0" collapsed="false">
      <c r="B8" s="21" t="s">
        <v>997</v>
      </c>
      <c r="C8" s="113" t="n">
        <f aca="false">C5*C7+ENTRADAS!$C$26*12</f>
        <v>8384.43967641217</v>
      </c>
      <c r="D8" s="113" t="n">
        <f aca="false">D5*D7+ENTRADAS!$C$26*12</f>
        <v>8384.43967641217</v>
      </c>
      <c r="E8" s="113" t="n">
        <f aca="false">E5*E7+ENTRADAS!$C$26*12</f>
        <v>8384.43967641217</v>
      </c>
      <c r="F8" s="113" t="n">
        <f aca="false">F5*F7+ENTRADAS!$C$26*12</f>
        <v>8384.43967641217</v>
      </c>
      <c r="G8" s="113" t="n">
        <f aca="false">G5*G7+ENTRADAS!$C$26*12</f>
        <v>8384.43967641217</v>
      </c>
      <c r="H8" s="113" t="n">
        <f aca="false">H5*H7+ENTRADAS!$C$26*12</f>
        <v>8384.43967641217</v>
      </c>
      <c r="I8" s="113" t="n">
        <f aca="false">I5*I7+ENTRADAS!$C$26*12</f>
        <v>8384.43967641217</v>
      </c>
      <c r="J8" s="113" t="n">
        <f aca="false">J5*J7+ENTRADAS!$C$26*12</f>
        <v>8384.43967641217</v>
      </c>
      <c r="K8" s="113" t="n">
        <f aca="false">K5*K7+ENTRADAS!$C$26*12</f>
        <v>8384.43967641217</v>
      </c>
      <c r="L8" s="113" t="n">
        <f aca="false">L5*L7+ENTRADAS!$C$26*12</f>
        <v>8384.43967641217</v>
      </c>
      <c r="M8" s="113" t="n">
        <f aca="false">M5*M7+ENTRADAS!$C$26*12</f>
        <v>8384.43967641217</v>
      </c>
      <c r="N8" s="113" t="n">
        <f aca="false">N5*N7+ENTRADAS!$C$26*12</f>
        <v>8384.43967641217</v>
      </c>
      <c r="O8" s="111"/>
      <c r="P8" s="80" t="s">
        <v>998</v>
      </c>
    </row>
    <row r="9" customFormat="false" ht="15" hidden="false" customHeight="false" outlineLevel="0" collapsed="false">
      <c r="B9" s="4" t="s">
        <v>999</v>
      </c>
      <c r="C9" s="39" t="n">
        <f aca="false">MIN(C5,C6)*ENTRADAS!$C$37</f>
        <v>2388.06416529477</v>
      </c>
      <c r="D9" s="39" t="n">
        <f aca="false">MIN(D5,D6)*ENTRADAS!$C$37</f>
        <v>2388.06416529477</v>
      </c>
      <c r="E9" s="39" t="n">
        <f aca="false">MIN(E5,E6)*ENTRADAS!$C$37</f>
        <v>2351.5403307</v>
      </c>
      <c r="F9" s="39" t="n">
        <f aca="false">MIN(F5,F6)*ENTRADAS!$C$37</f>
        <v>2351.5403307</v>
      </c>
      <c r="G9" s="39" t="n">
        <f aca="false">MIN(G5,G6)*ENTRADAS!$C$37</f>
        <v>2029.151736975</v>
      </c>
      <c r="H9" s="39" t="n">
        <f aca="false">MIN(H5,H6)*ENTRADAS!$C$37</f>
        <v>1775.03366898</v>
      </c>
      <c r="I9" s="39" t="n">
        <f aca="false">MIN(I5,I6)*ENTRADAS!$C$37</f>
        <v>2388.06416529477</v>
      </c>
      <c r="J9" s="39" t="n">
        <f aca="false">MIN(J5,J6)*ENTRADAS!$C$37</f>
        <v>2237.75612115</v>
      </c>
      <c r="K9" s="39" t="n">
        <f aca="false">MIN(K5,K6)*ENTRADAS!$C$37</f>
        <v>2388.06416529477</v>
      </c>
      <c r="L9" s="39" t="n">
        <f aca="false">MIN(L5,L6)*ENTRADAS!$C$37</f>
        <v>2332.576295775</v>
      </c>
      <c r="M9" s="39" t="n">
        <f aca="false">MIN(M5,M6)*ENTRADAS!$C$37</f>
        <v>2388.06416529477</v>
      </c>
      <c r="N9" s="39" t="n">
        <f aca="false">MIN(N5,N6)*ENTRADAS!$C$37</f>
        <v>2388.06416529477</v>
      </c>
      <c r="O9" s="111"/>
      <c r="P9" s="80" t="s">
        <v>1000</v>
      </c>
    </row>
    <row r="10" customFormat="false" ht="15" hidden="false" customHeight="false" outlineLevel="0" collapsed="false">
      <c r="B10" s="4" t="s">
        <v>1001</v>
      </c>
      <c r="C10" s="39" t="n">
        <f aca="false">C6-C9</f>
        <v>6942.24101780523</v>
      </c>
      <c r="D10" s="39" t="n">
        <f aca="false">D6-D9</f>
        <v>6790.52873840523</v>
      </c>
      <c r="E10" s="39" t="n">
        <f aca="false">E6-E9</f>
        <v>5486.9274383</v>
      </c>
      <c r="F10" s="39" t="n">
        <f aca="false">F6-F9</f>
        <v>5486.9274383</v>
      </c>
      <c r="G10" s="39" t="n">
        <f aca="false">G6-G9</f>
        <v>4734.687386275</v>
      </c>
      <c r="H10" s="39" t="n">
        <f aca="false">H6-H9</f>
        <v>4141.74522762</v>
      </c>
      <c r="I10" s="39" t="n">
        <f aca="false">I6-I9</f>
        <v>5829.68430220523</v>
      </c>
      <c r="J10" s="39" t="n">
        <f aca="false">J6-J9</f>
        <v>5221.43094935</v>
      </c>
      <c r="K10" s="39" t="n">
        <f aca="false">K6-K9</f>
        <v>6234.25038060523</v>
      </c>
      <c r="L10" s="39" t="n">
        <f aca="false">L6-L9</f>
        <v>5442.678023475</v>
      </c>
      <c r="M10" s="39" t="n">
        <f aca="false">M6-M9</f>
        <v>7473.23399570523</v>
      </c>
      <c r="N10" s="39" t="n">
        <f aca="false">N6-N9</f>
        <v>9116.78368920523</v>
      </c>
      <c r="O10" s="111"/>
      <c r="P10" s="80" t="s">
        <v>1002</v>
      </c>
    </row>
    <row r="11" customFormat="false" ht="15" hidden="false" customHeight="false" outlineLevel="0" collapsed="false">
      <c r="B11" s="4" t="s">
        <v>1003</v>
      </c>
      <c r="C11" s="39" t="n">
        <f aca="false">ENTRADAS!$C$17*12</f>
        <v>600</v>
      </c>
      <c r="D11" s="39" t="n">
        <f aca="false">ENTRADAS!$C$17*12</f>
        <v>600</v>
      </c>
      <c r="E11" s="39" t="n">
        <f aca="false">ENTRADAS!$C$17*12</f>
        <v>600</v>
      </c>
      <c r="F11" s="39" t="n">
        <f aca="false">ENTRADAS!$C$17*12</f>
        <v>600</v>
      </c>
      <c r="G11" s="39" t="n">
        <f aca="false">ENTRADAS!$C$17*12</f>
        <v>600</v>
      </c>
      <c r="H11" s="39" t="n">
        <f aca="false">ENTRADAS!$C$17*12</f>
        <v>600</v>
      </c>
      <c r="I11" s="39" t="n">
        <f aca="false">ENTRADAS!$C$17*12</f>
        <v>600</v>
      </c>
      <c r="J11" s="39" t="n">
        <f aca="false">ENTRADAS!$C$17*12</f>
        <v>600</v>
      </c>
      <c r="K11" s="39" t="n">
        <f aca="false">ENTRADAS!$C$17*12</f>
        <v>600</v>
      </c>
      <c r="L11" s="39" t="n">
        <f aca="false">ENTRADAS!$C$17*12</f>
        <v>600</v>
      </c>
      <c r="M11" s="39" t="n">
        <f aca="false">ENTRADAS!$C$17*12</f>
        <v>600</v>
      </c>
      <c r="N11" s="39" t="n">
        <f aca="false">ENTRADAS!$C$17*12</f>
        <v>600</v>
      </c>
      <c r="O11" s="111"/>
      <c r="P11" s="80" t="s">
        <v>1004</v>
      </c>
    </row>
    <row r="12" customFormat="false" ht="15" hidden="false" customHeight="false" outlineLevel="0" collapsed="false">
      <c r="B12" s="4" t="s">
        <v>1005</v>
      </c>
      <c r="C12" s="39" t="n">
        <f aca="false">MAX(0,MIN(C10,C5-C9-C11))</f>
        <v>4972.14971902113</v>
      </c>
      <c r="D12" s="39" t="n">
        <f aca="false">MAX(0,MIN(D10,D5-D9-D11))</f>
        <v>4972.14971902113</v>
      </c>
      <c r="E12" s="39" t="n">
        <f aca="false">MAX(0,MIN(E10,E5-E9-E11))</f>
        <v>5008.67355361591</v>
      </c>
      <c r="F12" s="39" t="n">
        <f aca="false">MAX(0,MIN(F10,F5-F9-F11))</f>
        <v>5008.67355361591</v>
      </c>
      <c r="G12" s="39" t="n">
        <f aca="false">MAX(0,MIN(G10,G5-G9-G11))</f>
        <v>4734.687386275</v>
      </c>
      <c r="H12" s="39" t="n">
        <f aca="false">MAX(0,MIN(H10,H5-H9-H11))</f>
        <v>4141.74522762</v>
      </c>
      <c r="I12" s="39" t="n">
        <f aca="false">MAX(0,MIN(I10,I5-I9-I11))</f>
        <v>4972.14971902113</v>
      </c>
      <c r="J12" s="39" t="n">
        <f aca="false">MAX(0,MIN(J10,J5-J9-J11))</f>
        <v>5122.45776316591</v>
      </c>
      <c r="K12" s="39" t="n">
        <f aca="false">MAX(0,MIN(K10,K5-K9-K11))</f>
        <v>4972.14971902113</v>
      </c>
      <c r="L12" s="39" t="n">
        <f aca="false">MAX(0,MIN(L10,L5-L9-L11))</f>
        <v>5027.63758854091</v>
      </c>
      <c r="M12" s="39" t="n">
        <f aca="false">MAX(0,MIN(M10,M5-M9-M11))</f>
        <v>4972.14971902113</v>
      </c>
      <c r="N12" s="39" t="n">
        <f aca="false">MAX(0,MIN(N10,N5-N9-N11))</f>
        <v>4972.14971902113</v>
      </c>
      <c r="O12" s="111"/>
      <c r="P12" s="80" t="s">
        <v>1006</v>
      </c>
    </row>
    <row r="13" customFormat="false" ht="15" hidden="false" customHeight="false" outlineLevel="0" collapsed="false">
      <c r="B13" s="4" t="s">
        <v>1007</v>
      </c>
      <c r="C13" s="39" t="n">
        <f aca="false">C10-C12</f>
        <v>1970.09129878409</v>
      </c>
      <c r="D13" s="39" t="n">
        <f aca="false">D10-D12</f>
        <v>1818.37901938409</v>
      </c>
      <c r="E13" s="39" t="n">
        <f aca="false">E10-E12</f>
        <v>478.253884684094</v>
      </c>
      <c r="F13" s="39" t="n">
        <f aca="false">F10-F12</f>
        <v>478.253884684094</v>
      </c>
      <c r="G13" s="39" t="n">
        <f aca="false">G10-G12</f>
        <v>0</v>
      </c>
      <c r="H13" s="39" t="n">
        <f aca="false">H10-H12</f>
        <v>0</v>
      </c>
      <c r="I13" s="39" t="n">
        <f aca="false">I10-I12</f>
        <v>857.534583184095</v>
      </c>
      <c r="J13" s="39" t="n">
        <f aca="false">J10-J12</f>
        <v>98.9731861840937</v>
      </c>
      <c r="K13" s="39" t="n">
        <f aca="false">K10-K12</f>
        <v>1262.10066158409</v>
      </c>
      <c r="L13" s="39" t="n">
        <f aca="false">L10-L12</f>
        <v>415.040434934095</v>
      </c>
      <c r="M13" s="39" t="n">
        <f aca="false">M10-M12</f>
        <v>2501.08427668409</v>
      </c>
      <c r="N13" s="39" t="n">
        <f aca="false">N10-N12</f>
        <v>4144.6339701841</v>
      </c>
      <c r="O13" s="111"/>
      <c r="P13" s="80" t="s">
        <v>1008</v>
      </c>
    </row>
    <row r="14" customFormat="false" ht="15" hidden="false" customHeight="false" outlineLevel="0" collapsed="false">
      <c r="B14" s="4" t="s">
        <v>1009</v>
      </c>
      <c r="C14" s="39" t="n">
        <f aca="false">MAX(C11,C5-C9-C12)</f>
        <v>600</v>
      </c>
      <c r="D14" s="39" t="n">
        <f aca="false">MAX(D11,D5-D9-D12)</f>
        <v>600</v>
      </c>
      <c r="E14" s="39" t="n">
        <f aca="false">MAX(E11,E5-E9-E12)</f>
        <v>600</v>
      </c>
      <c r="F14" s="39" t="n">
        <f aca="false">MAX(F11,F5-F9-F12)</f>
        <v>600</v>
      </c>
      <c r="G14" s="39" t="n">
        <f aca="false">MAX(G11,G5-G9-G12)</f>
        <v>1196.37476106591</v>
      </c>
      <c r="H14" s="39" t="n">
        <f aca="false">MAX(H11,H5-H9-H12)</f>
        <v>2043.43498771591</v>
      </c>
      <c r="I14" s="39" t="n">
        <f aca="false">MAX(I11,I5-I9-I12)</f>
        <v>600</v>
      </c>
      <c r="J14" s="39" t="n">
        <f aca="false">MAX(J11,J5-J9-J12)</f>
        <v>600</v>
      </c>
      <c r="K14" s="39" t="n">
        <f aca="false">MAX(K11,K5-K9-K12)</f>
        <v>600</v>
      </c>
      <c r="L14" s="39" t="n">
        <f aca="false">MAX(L11,L5-L9-L12)</f>
        <v>600</v>
      </c>
      <c r="M14" s="39" t="n">
        <f aca="false">MAX(M11,M5-M9-M12)</f>
        <v>600</v>
      </c>
      <c r="N14" s="39" t="n">
        <f aca="false">MAX(N11,N5-N9-N12)</f>
        <v>600</v>
      </c>
      <c r="O14" s="111"/>
      <c r="P14" s="80" t="s">
        <v>1010</v>
      </c>
    </row>
    <row r="15" customFormat="false" ht="15" hidden="false" customHeight="false" outlineLevel="0" collapsed="false">
      <c r="B15" s="4" t="s">
        <v>1011</v>
      </c>
      <c r="C15" s="112" t="n">
        <f aca="false">C14*C7</f>
        <v>612.882</v>
      </c>
      <c r="D15" s="112" t="n">
        <f aca="false">D14*D7</f>
        <v>612.882</v>
      </c>
      <c r="E15" s="112" t="n">
        <f aca="false">E14*E7</f>
        <v>612.882</v>
      </c>
      <c r="F15" s="112" t="n">
        <f aca="false">F14*F7</f>
        <v>612.882</v>
      </c>
      <c r="G15" s="112" t="n">
        <f aca="false">G14*G7</f>
        <v>1222.06092718599</v>
      </c>
      <c r="H15" s="112" t="n">
        <f aca="false">H14*H7</f>
        <v>2087.30753690217</v>
      </c>
      <c r="I15" s="112" t="n">
        <f aca="false">I14*I7</f>
        <v>612.882</v>
      </c>
      <c r="J15" s="112" t="n">
        <f aca="false">J14*J7</f>
        <v>612.882</v>
      </c>
      <c r="K15" s="112" t="n">
        <f aca="false">K14*K7</f>
        <v>612.882</v>
      </c>
      <c r="L15" s="112" t="n">
        <f aca="false">L14*L7</f>
        <v>612.882</v>
      </c>
      <c r="M15" s="112" t="n">
        <f aca="false">M14*M7</f>
        <v>612.882</v>
      </c>
      <c r="N15" s="112" t="n">
        <f aca="false">N14*N7</f>
        <v>612.882</v>
      </c>
      <c r="O15" s="111"/>
      <c r="P15" s="80"/>
    </row>
    <row r="16" customFormat="false" ht="15" hidden="false" customHeight="false" outlineLevel="0" collapsed="false">
      <c r="B16" s="4" t="s">
        <v>1012</v>
      </c>
      <c r="C16" s="112" t="n">
        <f aca="false">C12*ENTRADAS!$C$25</f>
        <v>1067.59413248968</v>
      </c>
      <c r="D16" s="112" t="n">
        <f aca="false">D12*ENTRADAS!$C$25</f>
        <v>1067.59413248968</v>
      </c>
      <c r="E16" s="112" t="n">
        <f aca="false">E12*ENTRADAS!$C$25</f>
        <v>1075.43634032993</v>
      </c>
      <c r="F16" s="112" t="n">
        <f aca="false">F12*ENTRADAS!$C$25</f>
        <v>1075.43634032993</v>
      </c>
      <c r="G16" s="112" t="n">
        <f aca="false">G12*ENTRADAS!$C$25</f>
        <v>1016.60745520656</v>
      </c>
      <c r="H16" s="112" t="n">
        <f aca="false">H12*ENTRADAS!$C$25</f>
        <v>889.293998199383</v>
      </c>
      <c r="I16" s="112" t="n">
        <f aca="false">I12*ENTRADAS!$C$25</f>
        <v>1067.59413248968</v>
      </c>
      <c r="J16" s="112" t="n">
        <f aca="false">J12*ENTRADAS!$C$25</f>
        <v>1099.86749412662</v>
      </c>
      <c r="K16" s="112" t="n">
        <f aca="false">K12*ENTRADAS!$C$25</f>
        <v>1067.59413248968</v>
      </c>
      <c r="L16" s="112" t="n">
        <f aca="false">L12*ENTRADAS!$C$25</f>
        <v>1079.50819929604</v>
      </c>
      <c r="M16" s="112" t="n">
        <f aca="false">M12*ENTRADAS!$C$25</f>
        <v>1067.59413248968</v>
      </c>
      <c r="N16" s="112" t="n">
        <f aca="false">N12*ENTRADAS!$C$25</f>
        <v>1067.59413248968</v>
      </c>
      <c r="O16" s="111"/>
      <c r="P16" s="80" t="s">
        <v>1013</v>
      </c>
    </row>
    <row r="17" customFormat="false" ht="15" hidden="false" customHeight="false" outlineLevel="0" collapsed="false">
      <c r="B17" s="4" t="s">
        <v>1014</v>
      </c>
      <c r="C17" s="112" t="n">
        <f aca="false">ENTRADAS!$C$26*12</f>
        <v>253.32</v>
      </c>
      <c r="D17" s="112" t="n">
        <f aca="false">ENTRADAS!$C$26*12</f>
        <v>253.32</v>
      </c>
      <c r="E17" s="112" t="n">
        <f aca="false">ENTRADAS!$C$26*12</f>
        <v>253.32</v>
      </c>
      <c r="F17" s="112" t="n">
        <f aca="false">ENTRADAS!$C$26*12</f>
        <v>253.32</v>
      </c>
      <c r="G17" s="112" t="n">
        <f aca="false">ENTRADAS!$C$26*12</f>
        <v>253.32</v>
      </c>
      <c r="H17" s="112" t="n">
        <f aca="false">ENTRADAS!$C$26*12</f>
        <v>253.32</v>
      </c>
      <c r="I17" s="112" t="n">
        <f aca="false">ENTRADAS!$C$26*12</f>
        <v>253.32</v>
      </c>
      <c r="J17" s="112" t="n">
        <f aca="false">ENTRADAS!$C$26*12</f>
        <v>253.32</v>
      </c>
      <c r="K17" s="112" t="n">
        <f aca="false">ENTRADAS!$C$26*12</f>
        <v>253.32</v>
      </c>
      <c r="L17" s="112" t="n">
        <f aca="false">ENTRADAS!$C$26*12</f>
        <v>253.32</v>
      </c>
      <c r="M17" s="112" t="n">
        <f aca="false">ENTRADAS!$C$26*12</f>
        <v>253.32</v>
      </c>
      <c r="N17" s="112" t="n">
        <f aca="false">ENTRADAS!$C$26*12</f>
        <v>253.32</v>
      </c>
      <c r="O17" s="111"/>
      <c r="P17" s="80" t="s">
        <v>1015</v>
      </c>
    </row>
    <row r="18" customFormat="false" ht="15" hidden="false" customHeight="false" outlineLevel="0" collapsed="false">
      <c r="B18" s="21" t="s">
        <v>1016</v>
      </c>
      <c r="C18" s="50" t="n">
        <f aca="false">C15+C16+C17</f>
        <v>1933.79613248968</v>
      </c>
      <c r="D18" s="50" t="n">
        <f aca="false">D15+D16+D17</f>
        <v>1933.79613248968</v>
      </c>
      <c r="E18" s="50" t="n">
        <f aca="false">E15+E16+E17</f>
        <v>1941.63834032993</v>
      </c>
      <c r="F18" s="50" t="n">
        <f aca="false">F15+F16+F17</f>
        <v>1941.63834032993</v>
      </c>
      <c r="G18" s="50" t="n">
        <f aca="false">G15+G16+G17</f>
        <v>2491.98838239255</v>
      </c>
      <c r="H18" s="50" t="n">
        <f aca="false">H15+H16+H17</f>
        <v>3229.92153510155</v>
      </c>
      <c r="I18" s="50" t="n">
        <f aca="false">I15+I16+I17</f>
        <v>1933.79613248968</v>
      </c>
      <c r="J18" s="50" t="n">
        <f aca="false">J15+J16+J17</f>
        <v>1966.06949412662</v>
      </c>
      <c r="K18" s="50" t="n">
        <f aca="false">K15+K16+K17</f>
        <v>1933.79613248968</v>
      </c>
      <c r="L18" s="50" t="n">
        <f aca="false">L15+L16+L17</f>
        <v>1945.71019929604</v>
      </c>
      <c r="M18" s="50" t="n">
        <f aca="false">M15+M16+M17</f>
        <v>1933.79613248968</v>
      </c>
      <c r="N18" s="50" t="n">
        <f aca="false">N15+N16+N17</f>
        <v>1933.79613248968</v>
      </c>
      <c r="O18" s="111"/>
      <c r="P18" s="80" t="s">
        <v>1017</v>
      </c>
    </row>
    <row r="19" customFormat="false" ht="15" hidden="false" customHeight="false" outlineLevel="0" collapsed="false">
      <c r="B19" s="21" t="s">
        <v>1018</v>
      </c>
      <c r="C19" s="50" t="n">
        <f aca="false">C18/12</f>
        <v>161.149677707473</v>
      </c>
      <c r="D19" s="50" t="n">
        <f aca="false">D18/12</f>
        <v>161.149677707473</v>
      </c>
      <c r="E19" s="50" t="n">
        <f aca="false">E18/12</f>
        <v>161.803195027494</v>
      </c>
      <c r="F19" s="50" t="n">
        <f aca="false">F18/12</f>
        <v>161.803195027494</v>
      </c>
      <c r="G19" s="50" t="n">
        <f aca="false">G18/12</f>
        <v>207.665698532713</v>
      </c>
      <c r="H19" s="50" t="n">
        <f aca="false">H18/12</f>
        <v>269.160127925129</v>
      </c>
      <c r="I19" s="50" t="n">
        <f aca="false">I18/12</f>
        <v>161.149677707473</v>
      </c>
      <c r="J19" s="50" t="n">
        <f aca="false">J18/12</f>
        <v>163.839124510551</v>
      </c>
      <c r="K19" s="50" t="n">
        <f aca="false">K18/12</f>
        <v>161.149677707473</v>
      </c>
      <c r="L19" s="50" t="n">
        <f aca="false">L18/12</f>
        <v>162.142516608004</v>
      </c>
      <c r="M19" s="50" t="n">
        <f aca="false">M18/12</f>
        <v>161.149677707473</v>
      </c>
      <c r="N19" s="50" t="n">
        <f aca="false">N18/12</f>
        <v>161.149677707473</v>
      </c>
      <c r="O19" s="111"/>
      <c r="P19" s="80" t="s">
        <v>1019</v>
      </c>
    </row>
    <row r="20" customFormat="false" ht="15" hidden="false" customHeight="false" outlineLevel="0" collapsed="false">
      <c r="B20" s="4" t="s">
        <v>1020</v>
      </c>
      <c r="C20" s="40" t="n">
        <f aca="false">IFERROR(1-C18/C8,0)</f>
        <v>0.769358930695154</v>
      </c>
      <c r="D20" s="40" t="n">
        <f aca="false">IFERROR(1-D18/D8,0)</f>
        <v>0.769358930695154</v>
      </c>
      <c r="E20" s="40" t="n">
        <f aca="false">IFERROR(1-E18/E8,0)</f>
        <v>0.768423601902425</v>
      </c>
      <c r="F20" s="40" t="n">
        <f aca="false">IFERROR(1-F18/F8,0)</f>
        <v>0.768423601902425</v>
      </c>
      <c r="G20" s="40" t="n">
        <f aca="false">IFERROR(1-G18/G8,0)</f>
        <v>0.702784147949298</v>
      </c>
      <c r="H20" s="40" t="n">
        <f aca="false">IFERROR(1-H18/H8,0)</f>
        <v>0.61477192755191</v>
      </c>
      <c r="I20" s="40" t="n">
        <f aca="false">IFERROR(1-I18/I8,0)</f>
        <v>0.769358930695154</v>
      </c>
      <c r="J20" s="40" t="n">
        <f aca="false">IFERROR(1-J18/J8,0)</f>
        <v>0.765509733505778</v>
      </c>
      <c r="K20" s="40" t="n">
        <f aca="false">IFERROR(1-K18/K8,0)</f>
        <v>0.769358930695154</v>
      </c>
      <c r="L20" s="40" t="n">
        <f aca="false">IFERROR(1-L18/L8,0)</f>
        <v>0.767937957169651</v>
      </c>
      <c r="M20" s="40" t="n">
        <f aca="false">IFERROR(1-M18/M8,0)</f>
        <v>0.769358930695154</v>
      </c>
      <c r="N20" s="40" t="n">
        <f aca="false">IFERROR(1-N18/N8,0)</f>
        <v>0.769358930695154</v>
      </c>
      <c r="O20" s="111"/>
      <c r="P20" s="80"/>
    </row>
    <row r="21" customFormat="false" ht="15" hidden="false" customHeight="false" outlineLevel="0" collapsed="false">
      <c r="B21" s="4" t="s">
        <v>1021</v>
      </c>
      <c r="C21" s="112" t="n">
        <f aca="false">C8-C18</f>
        <v>6450.64354392249</v>
      </c>
      <c r="D21" s="112" t="n">
        <f aca="false">D8-D18</f>
        <v>6450.64354392249</v>
      </c>
      <c r="E21" s="112" t="n">
        <f aca="false">E8-E18</f>
        <v>6442.80133608224</v>
      </c>
      <c r="F21" s="112" t="n">
        <f aca="false">F8-F18</f>
        <v>6442.80133608224</v>
      </c>
      <c r="G21" s="112" t="n">
        <f aca="false">G8-G18</f>
        <v>5892.45129401962</v>
      </c>
      <c r="H21" s="112" t="n">
        <f aca="false">H8-H18</f>
        <v>5154.51814131062</v>
      </c>
      <c r="I21" s="112" t="n">
        <f aca="false">I8-I18</f>
        <v>6450.64354392249</v>
      </c>
      <c r="J21" s="112" t="n">
        <f aca="false">J8-J18</f>
        <v>6418.37018228556</v>
      </c>
      <c r="K21" s="112" t="n">
        <f aca="false">K8-K18</f>
        <v>6450.64354392249</v>
      </c>
      <c r="L21" s="112" t="n">
        <f aca="false">L8-L18</f>
        <v>6438.72947711613</v>
      </c>
      <c r="M21" s="112" t="n">
        <f aca="false">M8-M18</f>
        <v>6450.64354392249</v>
      </c>
      <c r="N21" s="112" t="n">
        <f aca="false">N8-N18</f>
        <v>6450.64354392249</v>
      </c>
      <c r="O21" s="111"/>
      <c r="P21" s="80"/>
    </row>
    <row r="22" customFormat="false" ht="15" hidden="false" customHeight="false" outlineLevel="0" collapsed="false">
      <c r="B22" s="4" t="s">
        <v>1022</v>
      </c>
      <c r="C22" s="112" t="n">
        <f aca="false">ENTRADAS!$C$35</f>
        <v>300</v>
      </c>
      <c r="D22" s="112" t="n">
        <f aca="false">ENTRADAS!$C$35</f>
        <v>300</v>
      </c>
      <c r="E22" s="112" t="n">
        <f aca="false">ENTRADAS!$C$35</f>
        <v>300</v>
      </c>
      <c r="F22" s="112" t="n">
        <f aca="false">ENTRADAS!$C$35</f>
        <v>300</v>
      </c>
      <c r="G22" s="112" t="n">
        <f aca="false">ENTRADAS!$C$35</f>
        <v>300</v>
      </c>
      <c r="H22" s="112" t="n">
        <f aca="false">ENTRADAS!$C$35</f>
        <v>300</v>
      </c>
      <c r="I22" s="112" t="n">
        <f aca="false">ENTRADAS!$C$35</f>
        <v>300</v>
      </c>
      <c r="J22" s="112" t="n">
        <f aca="false">ENTRADAS!$C$35</f>
        <v>300</v>
      </c>
      <c r="K22" s="112" t="n">
        <f aca="false">ENTRADAS!$C$35</f>
        <v>300</v>
      </c>
      <c r="L22" s="112" t="n">
        <f aca="false">ENTRADAS!$C$35</f>
        <v>300</v>
      </c>
      <c r="M22" s="112" t="n">
        <f aca="false">ENTRADAS!$C$35</f>
        <v>300</v>
      </c>
      <c r="N22" s="112" t="n">
        <f aca="false">ENTRADAS!$C$35</f>
        <v>300</v>
      </c>
      <c r="O22" s="111"/>
      <c r="P22" s="80" t="s">
        <v>1023</v>
      </c>
    </row>
    <row r="23" customFormat="false" ht="15" hidden="false" customHeight="false" outlineLevel="0" collapsed="false">
      <c r="B23" s="4" t="s">
        <v>1024</v>
      </c>
      <c r="C23" s="112" t="n">
        <f aca="false">ENTRADAS!$C$36</f>
        <v>150</v>
      </c>
      <c r="D23" s="112" t="n">
        <f aca="false">ENTRADAS!$C$36</f>
        <v>150</v>
      </c>
      <c r="E23" s="112" t="n">
        <f aca="false">ENTRADAS!$C$36</f>
        <v>150</v>
      </c>
      <c r="F23" s="112" t="n">
        <f aca="false">ENTRADAS!$C$36</f>
        <v>150</v>
      </c>
      <c r="G23" s="112" t="n">
        <f aca="false">ENTRADAS!$C$36</f>
        <v>150</v>
      </c>
      <c r="H23" s="112" t="n">
        <f aca="false">ENTRADAS!$C$36</f>
        <v>150</v>
      </c>
      <c r="I23" s="112" t="n">
        <f aca="false">ENTRADAS!$C$36</f>
        <v>150</v>
      </c>
      <c r="J23" s="112" t="n">
        <f aca="false">ENTRADAS!$C$36</f>
        <v>150</v>
      </c>
      <c r="K23" s="112" t="n">
        <f aca="false">ENTRADAS!$C$36</f>
        <v>150</v>
      </c>
      <c r="L23" s="112" t="n">
        <f aca="false">ENTRADAS!$C$36</f>
        <v>150</v>
      </c>
      <c r="M23" s="112" t="n">
        <f aca="false">ENTRADAS!$C$36</f>
        <v>150</v>
      </c>
      <c r="N23" s="112" t="n">
        <f aca="false">ENTRADAS!$C$36</f>
        <v>150</v>
      </c>
      <c r="O23" s="111"/>
      <c r="P23" s="80" t="s">
        <v>1025</v>
      </c>
    </row>
    <row r="24" customFormat="false" ht="15" hidden="false" customHeight="false" outlineLevel="0" collapsed="false">
      <c r="B24" s="4" t="s">
        <v>1026</v>
      </c>
      <c r="C24" s="112" t="n">
        <f aca="false">0</f>
        <v>0</v>
      </c>
      <c r="D24" s="112" t="n">
        <f aca="false">0</f>
        <v>0</v>
      </c>
      <c r="E24" s="112" t="n">
        <f aca="false">0</f>
        <v>0</v>
      </c>
      <c r="F24" s="112" t="n">
        <f aca="false">0</f>
        <v>0</v>
      </c>
      <c r="G24" s="112" t="n">
        <f aca="false">0</f>
        <v>0</v>
      </c>
      <c r="H24" s="112" t="n">
        <f aca="false">0</f>
        <v>0</v>
      </c>
      <c r="I24" s="112" t="n">
        <f aca="false">0</f>
        <v>0</v>
      </c>
      <c r="J24" s="112" t="n">
        <f aca="false">0</f>
        <v>0</v>
      </c>
      <c r="K24" s="112" t="n">
        <f aca="false">0</f>
        <v>0</v>
      </c>
      <c r="L24" s="112" t="n">
        <f aca="false">0</f>
        <v>0</v>
      </c>
      <c r="M24" s="112" t="n">
        <f aca="false">0</f>
        <v>0</v>
      </c>
      <c r="N24" s="112" t="n">
        <f aca="false">0</f>
        <v>0</v>
      </c>
      <c r="O24" s="111"/>
      <c r="P24" s="80" t="s">
        <v>1027</v>
      </c>
    </row>
    <row r="25" customFormat="false" ht="15" hidden="false" customHeight="false" outlineLevel="0" collapsed="false">
      <c r="B25" s="4" t="s">
        <v>1028</v>
      </c>
      <c r="C25" s="112" t="n">
        <f aca="false">C22+C23</f>
        <v>450</v>
      </c>
      <c r="D25" s="112" t="n">
        <f aca="false">D22+D23</f>
        <v>450</v>
      </c>
      <c r="E25" s="112" t="n">
        <f aca="false">E22+E23</f>
        <v>450</v>
      </c>
      <c r="F25" s="112" t="n">
        <f aca="false">F22+F23</f>
        <v>450</v>
      </c>
      <c r="G25" s="112" t="n">
        <f aca="false">G22+G23</f>
        <v>450</v>
      </c>
      <c r="H25" s="112" t="n">
        <f aca="false">H22+H23</f>
        <v>450</v>
      </c>
      <c r="I25" s="112" t="n">
        <f aca="false">I22+I23</f>
        <v>450</v>
      </c>
      <c r="J25" s="112" t="n">
        <f aca="false">J22+J23</f>
        <v>450</v>
      </c>
      <c r="K25" s="112" t="n">
        <f aca="false">K22+K23</f>
        <v>450</v>
      </c>
      <c r="L25" s="112" t="n">
        <f aca="false">L22+L23</f>
        <v>450</v>
      </c>
      <c r="M25" s="112" t="n">
        <f aca="false">M22+M23</f>
        <v>450</v>
      </c>
      <c r="N25" s="112" t="n">
        <f aca="false">N22+N23</f>
        <v>450</v>
      </c>
      <c r="O25" s="111"/>
      <c r="P25" s="80"/>
    </row>
    <row r="26" customFormat="false" ht="15" hidden="false" customHeight="false" outlineLevel="0" collapsed="false">
      <c r="B26" s="21" t="s">
        <v>1029</v>
      </c>
      <c r="C26" s="114" t="n">
        <f aca="false">C21-C25</f>
        <v>6000.64354392249</v>
      </c>
      <c r="D26" s="114" t="n">
        <f aca="false">D21-D25</f>
        <v>6000.64354392249</v>
      </c>
      <c r="E26" s="114" t="n">
        <f aca="false">E21-E25</f>
        <v>5992.80133608224</v>
      </c>
      <c r="F26" s="114" t="n">
        <f aca="false">F21-F25</f>
        <v>5992.80133608224</v>
      </c>
      <c r="G26" s="114" t="n">
        <f aca="false">G21-G25</f>
        <v>5442.45129401962</v>
      </c>
      <c r="H26" s="114" t="n">
        <f aca="false">H21-H25</f>
        <v>4704.51814131062</v>
      </c>
      <c r="I26" s="114" t="n">
        <f aca="false">I21-I25</f>
        <v>6000.64354392249</v>
      </c>
      <c r="J26" s="114" t="n">
        <f aca="false">J21-J25</f>
        <v>5968.37018228556</v>
      </c>
      <c r="K26" s="114" t="n">
        <f aca="false">K21-K25</f>
        <v>6000.64354392249</v>
      </c>
      <c r="L26" s="114" t="n">
        <f aca="false">L21-L25</f>
        <v>5988.72947711613</v>
      </c>
      <c r="M26" s="114" t="n">
        <f aca="false">M21-M25</f>
        <v>6000.64354392249</v>
      </c>
      <c r="N26" s="114" t="n">
        <f aca="false">N21-N25</f>
        <v>6000.64354392249</v>
      </c>
      <c r="O26" s="111"/>
      <c r="P26" s="80" t="s">
        <v>1030</v>
      </c>
    </row>
    <row r="28" customFormat="false" ht="15" hidden="false" customHeight="false" outlineLevel="0" collapsed="false">
      <c r="B28" s="7" t="s">
        <v>1031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15" hidden="false" customHeight="false" outlineLevel="0" collapsed="false">
      <c r="B29" s="4" t="s">
        <v>1032</v>
      </c>
      <c r="C29" s="12" t="n">
        <f aca="false">BYD!$F$33*12</f>
        <v>4221.92511679644</v>
      </c>
      <c r="P29" s="2" t="s">
        <v>1033</v>
      </c>
    </row>
    <row r="30" customFormat="false" ht="15" hidden="false" customHeight="false" outlineLevel="0" collapsed="false">
      <c r="B30" s="4" t="s">
        <v>1034</v>
      </c>
      <c r="C30" s="12" t="n">
        <f aca="false">BYD!$F$34*12</f>
        <v>6921.92511679644</v>
      </c>
      <c r="P30" s="2" t="s">
        <v>1035</v>
      </c>
    </row>
    <row r="31" customFormat="false" ht="15" hidden="false" customHeight="false" outlineLevel="0" collapsed="false">
      <c r="B31" s="4" t="s">
        <v>1036</v>
      </c>
      <c r="C31" s="12" t="n">
        <f aca="false">C30-C29</f>
        <v>2700</v>
      </c>
      <c r="P31" s="2" t="s">
        <v>499</v>
      </c>
    </row>
    <row r="32" customFormat="false" ht="15" hidden="false" customHeight="false" outlineLevel="0" collapsed="false">
      <c r="B32" s="4" t="s">
        <v>1037</v>
      </c>
      <c r="C32" s="30" t="n">
        <f aca="false">IFERROR(C30/C29-1,0)</f>
        <v>0.639518685269514</v>
      </c>
      <c r="P32" s="2" t="s">
        <v>1038</v>
      </c>
    </row>
    <row r="33" customFormat="false" ht="15" hidden="false" customHeight="false" outlineLevel="0" collapsed="false">
      <c r="B33" s="4" t="s">
        <v>1039</v>
      </c>
      <c r="C33" s="15" t="n">
        <f aca="false">C29*ENTRADAS!C18+ENTRADAS!C26*12</f>
        <v>4565.88984905406</v>
      </c>
      <c r="P33" s="2" t="s">
        <v>1040</v>
      </c>
    </row>
    <row r="34" customFormat="false" ht="15" hidden="false" customHeight="false" outlineLevel="0" collapsed="false">
      <c r="B34" s="4" t="s">
        <v>1041</v>
      </c>
      <c r="C34" s="15" t="n">
        <f aca="false">C30*ENTRADAS!C18+ENTRADAS!C26*12</f>
        <v>7323.85884905406</v>
      </c>
      <c r="P34" s="2" t="s">
        <v>1042</v>
      </c>
    </row>
    <row r="35" customFormat="false" ht="15" hidden="false" customHeight="false" outlineLevel="0" collapsed="false">
      <c r="B35" s="4" t="s">
        <v>1043</v>
      </c>
      <c r="C35" s="15" t="n">
        <f aca="false">C31*ENTRADAS!C18</f>
        <v>2757.969</v>
      </c>
      <c r="P35" s="2" t="s">
        <v>1044</v>
      </c>
    </row>
    <row r="36" customFormat="false" ht="15" hidden="false" customHeight="false" outlineLevel="0" collapsed="false">
      <c r="B36" s="4" t="s">
        <v>1045</v>
      </c>
      <c r="C36" s="15" t="n">
        <f aca="false">C31*ENTRADAS!C25</f>
        <v>579.72996</v>
      </c>
      <c r="P36" s="2" t="s">
        <v>1046</v>
      </c>
    </row>
    <row r="37" customFormat="false" ht="15" hidden="false" customHeight="false" outlineLevel="0" collapsed="false">
      <c r="B37" s="21" t="s">
        <v>1047</v>
      </c>
      <c r="C37" s="23" t="n">
        <f aca="false">C35-C36</f>
        <v>2178.23904</v>
      </c>
      <c r="P37" s="2" t="s">
        <v>1048</v>
      </c>
    </row>
    <row r="38" customFormat="false" ht="15" hidden="false" customHeight="false" outlineLevel="0" collapsed="false">
      <c r="B38" s="4" t="s">
        <v>1049</v>
      </c>
      <c r="C38" s="12" t="n">
        <f aca="false">IFERROR(ROUNDUP(C31/GERACAO!I17*1000/615,0),0)</f>
        <v>4</v>
      </c>
      <c r="P38" s="2" t="s">
        <v>1050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39" min="4" style="0" width="14"/>
  </cols>
  <sheetData>
    <row r="1" customFormat="false" ht="17.35" hidden="false" customHeight="false" outlineLevel="0" collapsed="false">
      <c r="A1" s="1" t="s">
        <v>1051</v>
      </c>
    </row>
    <row r="2" customFormat="false" ht="15" hidden="false" customHeight="false" outlineLevel="0" collapsed="false">
      <c r="A2" s="2" t="s">
        <v>1052</v>
      </c>
    </row>
    <row r="4" customFormat="false" ht="45.75" hidden="false" customHeight="true" outlineLevel="0" collapsed="false">
      <c r="B4" s="17" t="s">
        <v>1053</v>
      </c>
      <c r="C4" s="17" t="s">
        <v>1054</v>
      </c>
      <c r="D4" s="17" t="s">
        <v>1055</v>
      </c>
      <c r="E4" s="17" t="s">
        <v>1056</v>
      </c>
      <c r="F4" s="17" t="s">
        <v>1057</v>
      </c>
      <c r="G4" s="17" t="s">
        <v>1058</v>
      </c>
      <c r="H4" s="17" t="s">
        <v>1059</v>
      </c>
      <c r="I4" s="17" t="s">
        <v>1060</v>
      </c>
      <c r="J4" s="17" t="s">
        <v>1061</v>
      </c>
      <c r="K4" s="17" t="s">
        <v>1062</v>
      </c>
      <c r="L4" s="17" t="s">
        <v>1063</v>
      </c>
      <c r="M4" s="17" t="s">
        <v>1064</v>
      </c>
      <c r="N4" s="17" t="s">
        <v>1065</v>
      </c>
      <c r="O4" s="17" t="s">
        <v>1066</v>
      </c>
      <c r="P4" s="17" t="s">
        <v>1067</v>
      </c>
      <c r="Q4" s="17" t="s">
        <v>1068</v>
      </c>
      <c r="R4" s="17" t="s">
        <v>1069</v>
      </c>
      <c r="S4" s="17" t="s">
        <v>1070</v>
      </c>
      <c r="T4" s="17" t="s">
        <v>1071</v>
      </c>
      <c r="U4" s="17" t="s">
        <v>1072</v>
      </c>
      <c r="V4" s="17" t="s">
        <v>1073</v>
      </c>
      <c r="W4" s="17" t="s">
        <v>1074</v>
      </c>
      <c r="X4" s="17" t="s">
        <v>1075</v>
      </c>
      <c r="Y4" s="17" t="s">
        <v>1076</v>
      </c>
      <c r="Z4" s="17" t="s">
        <v>1077</v>
      </c>
      <c r="AA4" s="17" t="s">
        <v>1078</v>
      </c>
      <c r="AB4" s="17" t="s">
        <v>1079</v>
      </c>
      <c r="AC4" s="17" t="s">
        <v>1080</v>
      </c>
      <c r="AD4" s="17" t="s">
        <v>1081</v>
      </c>
      <c r="AE4" s="17" t="s">
        <v>1082</v>
      </c>
      <c r="AF4" s="17" t="s">
        <v>1083</v>
      </c>
      <c r="AG4" s="17" t="s">
        <v>1084</v>
      </c>
      <c r="AH4" s="17" t="s">
        <v>1085</v>
      </c>
      <c r="AI4" s="17" t="s">
        <v>1086</v>
      </c>
      <c r="AJ4" s="17" t="s">
        <v>1087</v>
      </c>
      <c r="AK4" s="17" t="s">
        <v>1088</v>
      </c>
      <c r="AL4" s="17" t="s">
        <v>1089</v>
      </c>
      <c r="AM4" s="17" t="s">
        <v>1090</v>
      </c>
    </row>
    <row r="6" customFormat="false" ht="15" hidden="false" customHeight="false" outlineLevel="0" collapsed="false">
      <c r="B6" s="115" t="n">
        <v>1</v>
      </c>
      <c r="C6" s="40" t="n">
        <f aca="false">(1-ENTRADAS!$C$33)*(1-ENTRADAS!$C$34)^(1-1)</f>
        <v>0.98</v>
      </c>
      <c r="D6" s="116" t="n">
        <f aca="false">ECONOMIA!C$26*C6/$C$6*(1+ENTRADAS!$C$27)^(1-1)</f>
        <v>6000.64354392249</v>
      </c>
      <c r="E6" s="116" t="n">
        <f aca="false">D6</f>
        <v>6000.64354392249</v>
      </c>
      <c r="F6" s="116" t="n">
        <f aca="false">E6-COMPARATIVO!C$34</f>
        <v>-23798.0564560775</v>
      </c>
      <c r="G6" s="116" t="n">
        <f aca="false">ECONOMIA!D$26*C6/$C$6*(1+ENTRADAS!$C$27)^(1-1)</f>
        <v>6000.64354392249</v>
      </c>
      <c r="H6" s="116" t="n">
        <f aca="false">G6</f>
        <v>6000.64354392249</v>
      </c>
      <c r="I6" s="116" t="n">
        <f aca="false">H6-COMPARATIVO!D$34</f>
        <v>-22877.2564560775</v>
      </c>
      <c r="J6" s="116" t="n">
        <f aca="false">ECONOMIA!E$26*C6/$C$6*(1+ENTRADAS!$C$27)^(1-1)</f>
        <v>5992.80133608224</v>
      </c>
      <c r="K6" s="116" t="n">
        <f aca="false">J6</f>
        <v>5992.80133608224</v>
      </c>
      <c r="L6" s="116" t="n">
        <f aca="false">K6-COMPARATIVO!E$34</f>
        <v>-12527.5386639178</v>
      </c>
      <c r="M6" s="116" t="n">
        <f aca="false">ECONOMIA!F$26*C6/$C$6*(1+ENTRADAS!$C$27)^(1-1)</f>
        <v>5992.80133608224</v>
      </c>
      <c r="N6" s="116" t="n">
        <f aca="false">M6</f>
        <v>5992.80133608224</v>
      </c>
      <c r="O6" s="116" t="n">
        <f aca="false">N6-COMPARATIVO!F$34</f>
        <v>-13527.5386639178</v>
      </c>
      <c r="P6" s="116" t="n">
        <f aca="false">ECONOMIA!G$26*C6/$C$6*(1+ENTRADAS!$C$27)^(1-1)</f>
        <v>5442.45129401962</v>
      </c>
      <c r="Q6" s="116" t="n">
        <f aca="false">P6</f>
        <v>5442.45129401962</v>
      </c>
      <c r="R6" s="116" t="n">
        <f aca="false">Q6-COMPARATIVO!G$34</f>
        <v>-15906.4587059804</v>
      </c>
      <c r="S6" s="116" t="n">
        <f aca="false">ECONOMIA!H$26*C6/$C$6*(1+ENTRADAS!$C$27)^(1-1)</f>
        <v>4704.51814131062</v>
      </c>
      <c r="T6" s="116" t="n">
        <f aca="false">S6</f>
        <v>4704.51814131062</v>
      </c>
      <c r="U6" s="116" t="n">
        <f aca="false">T6-COMPARATIVO!H$34</f>
        <v>-10183.1218586894</v>
      </c>
      <c r="V6" s="116" t="n">
        <f aca="false">ECONOMIA!I$26*C6/$C$6*(1+ENTRADAS!$C$27)^(1-1)</f>
        <v>6000.64354392249</v>
      </c>
      <c r="W6" s="116" t="n">
        <f aca="false">V6</f>
        <v>6000.64354392249</v>
      </c>
      <c r="X6" s="116" t="n">
        <f aca="false">W6-COMPARATIVO!I$34</f>
        <v>-15079.8964560775</v>
      </c>
      <c r="Y6" s="116" t="n">
        <f aca="false">ECONOMIA!J$26*C6/$C$6*(1+ENTRADAS!$C$27)^(1-1)</f>
        <v>5968.37018228556</v>
      </c>
      <c r="Z6" s="116" t="n">
        <f aca="false">Y6</f>
        <v>5968.37018228556</v>
      </c>
      <c r="AA6" s="116" t="n">
        <f aca="false">Z6-COMPARATIVO!J$34</f>
        <v>-15264.6298177144</v>
      </c>
      <c r="AB6" s="116" t="n">
        <f aca="false">ECONOMIA!K$26*C6/$C$6*(1+ENTRADAS!$C$27)^(1-1)</f>
        <v>6000.64354392249</v>
      </c>
      <c r="AC6" s="116" t="n">
        <f aca="false">AB6</f>
        <v>6000.64354392249</v>
      </c>
      <c r="AD6" s="116" t="n">
        <f aca="false">AC6-COMPARATIVO!K$34</f>
        <v>-13389.3564560775</v>
      </c>
      <c r="AE6" s="116" t="n">
        <f aca="false">ECONOMIA!L$26*C6/$C$6*(1+ENTRADAS!$C$27)^(1-1)</f>
        <v>5988.72947711613</v>
      </c>
      <c r="AF6" s="116" t="n">
        <f aca="false">AE6</f>
        <v>5988.72947711613</v>
      </c>
      <c r="AG6" s="116" t="n">
        <f aca="false">AF6-COMPARATIVO!L$34</f>
        <v>-12711.2705228839</v>
      </c>
      <c r="AH6" s="116" t="n">
        <f aca="false">ECONOMIA!M$26*C6/$C$6*(1+ENTRADAS!$C$27)^(1-1)</f>
        <v>6000.64354392249</v>
      </c>
      <c r="AI6" s="116" t="n">
        <f aca="false">AH6</f>
        <v>6000.64354392249</v>
      </c>
      <c r="AJ6" s="116" t="n">
        <f aca="false">AI6-COMPARATIVO!M$34</f>
        <v>-16879.8964560775</v>
      </c>
      <c r="AK6" s="116" t="n">
        <f aca="false">ECONOMIA!N$26*C6/$C$6*(1+ENTRADAS!$C$27)^(1-1)</f>
        <v>6000.64354392249</v>
      </c>
      <c r="AL6" s="116" t="n">
        <f aca="false">AK6</f>
        <v>6000.64354392249</v>
      </c>
      <c r="AM6" s="116" t="n">
        <f aca="false">AL6-COMPARATIVO!N$34</f>
        <v>-18679.8964560775</v>
      </c>
    </row>
    <row r="7" customFormat="false" ht="15" hidden="false" customHeight="false" outlineLevel="0" collapsed="false">
      <c r="B7" s="115" t="n">
        <v>2</v>
      </c>
      <c r="C7" s="40" t="n">
        <f aca="false">(1-ENTRADAS!$C$33)*(1-ENTRADAS!$C$34)^(2-1)</f>
        <v>0.97559</v>
      </c>
      <c r="D7" s="116" t="n">
        <f aca="false">ECONOMIA!C$26*C7/$C$6*(1+ENTRADAS!$C$27)^(2-1)</f>
        <v>6391.79549333308</v>
      </c>
      <c r="E7" s="116" t="n">
        <f aca="false">E6+D7</f>
        <v>12392.4390372556</v>
      </c>
      <c r="F7" s="116" t="n">
        <f aca="false">E7-COMPARATIVO!C$34</f>
        <v>-17406.2609627444</v>
      </c>
      <c r="G7" s="116" t="n">
        <f aca="false">ECONOMIA!D$26*C7/$C$6*(1+ENTRADAS!$C$27)^(2-1)</f>
        <v>6391.79549333308</v>
      </c>
      <c r="H7" s="116" t="n">
        <f aca="false">H6+G7</f>
        <v>12392.4390372556</v>
      </c>
      <c r="I7" s="116" t="n">
        <f aca="false">H7-COMPARATIVO!D$34</f>
        <v>-16485.4609627444</v>
      </c>
      <c r="J7" s="116" t="n">
        <f aca="false">ECONOMIA!E$26*C7/$C$6*(1+ENTRADAS!$C$27)^(2-1)</f>
        <v>6383.44209117476</v>
      </c>
      <c r="K7" s="116" t="n">
        <f aca="false">K6+J7</f>
        <v>12376.243427257</v>
      </c>
      <c r="L7" s="116" t="n">
        <f aca="false">K7-COMPARATIVO!E$34</f>
        <v>-6144.09657274299</v>
      </c>
      <c r="M7" s="116" t="n">
        <f aca="false">ECONOMIA!F$26*C7/$C$6*(1+ENTRADAS!$C$27)^(2-1)</f>
        <v>6383.44209117476</v>
      </c>
      <c r="N7" s="116" t="n">
        <f aca="false">N6+M7</f>
        <v>12376.243427257</v>
      </c>
      <c r="O7" s="116" t="n">
        <f aca="false">N7-COMPARATIVO!F$34</f>
        <v>-7144.09657274299</v>
      </c>
      <c r="P7" s="116" t="n">
        <f aca="false">ECONOMIA!G$26*C7/$C$6*(1+ENTRADAS!$C$27)^(2-1)</f>
        <v>5797.21748162029</v>
      </c>
      <c r="Q7" s="116" t="n">
        <f aca="false">Q6+P7</f>
        <v>11239.6687756399</v>
      </c>
      <c r="R7" s="116" t="n">
        <f aca="false">Q7-COMPARATIVO!G$34</f>
        <v>-10109.2412243601</v>
      </c>
      <c r="S7" s="116" t="n">
        <f aca="false">ECONOMIA!H$26*C7/$C$6*(1+ENTRADAS!$C$27)^(2-1)</f>
        <v>5011.18215635195</v>
      </c>
      <c r="T7" s="116" t="n">
        <f aca="false">T6+S7</f>
        <v>9715.70029766257</v>
      </c>
      <c r="U7" s="116" t="n">
        <f aca="false">T7-COMPARATIVO!H$34</f>
        <v>-5171.93970233743</v>
      </c>
      <c r="V7" s="116" t="n">
        <f aca="false">ECONOMIA!I$26*C7/$C$6*(1+ENTRADAS!$C$27)^(2-1)</f>
        <v>6391.79549333308</v>
      </c>
      <c r="W7" s="116" t="n">
        <f aca="false">W6+V7</f>
        <v>12392.4390372556</v>
      </c>
      <c r="X7" s="116" t="n">
        <f aca="false">W7-COMPARATIVO!I$34</f>
        <v>-8688.10096274443</v>
      </c>
      <c r="Y7" s="116" t="n">
        <f aca="false">ECONOMIA!J$26*C7/$C$6*(1+ENTRADAS!$C$27)^(2-1)</f>
        <v>6357.41839261784</v>
      </c>
      <c r="Z7" s="116" t="n">
        <f aca="false">Z6+Y7</f>
        <v>12325.7885749034</v>
      </c>
      <c r="AA7" s="116" t="n">
        <f aca="false">Z7-COMPARATIVO!J$34</f>
        <v>-8907.21142509661</v>
      </c>
      <c r="AB7" s="116" t="n">
        <f aca="false">ECONOMIA!K$26*C7/$C$6*(1+ENTRADAS!$C$27)^(2-1)</f>
        <v>6391.79549333308</v>
      </c>
      <c r="AC7" s="116" t="n">
        <f aca="false">AC6+AB7</f>
        <v>12392.4390372556</v>
      </c>
      <c r="AD7" s="116" t="n">
        <f aca="false">AC7-COMPARATIVO!K$34</f>
        <v>-6997.56096274443</v>
      </c>
      <c r="AE7" s="116" t="n">
        <f aca="false">ECONOMIA!L$26*C7/$C$6*(1+ENTRADAS!$C$27)^(2-1)</f>
        <v>6379.10480808194</v>
      </c>
      <c r="AF7" s="116" t="n">
        <f aca="false">AF6+AE7</f>
        <v>12367.8342851981</v>
      </c>
      <c r="AG7" s="116" t="n">
        <f aca="false">AF7-COMPARATIVO!L$34</f>
        <v>-6332.16571480193</v>
      </c>
      <c r="AH7" s="116" t="n">
        <f aca="false">ECONOMIA!M$26*C7/$C$6*(1+ENTRADAS!$C$27)^(2-1)</f>
        <v>6391.79549333308</v>
      </c>
      <c r="AI7" s="116" t="n">
        <f aca="false">AI6+AH7</f>
        <v>12392.4390372556</v>
      </c>
      <c r="AJ7" s="116" t="n">
        <f aca="false">AI7-COMPARATIVO!M$34</f>
        <v>-10488.1009627444</v>
      </c>
      <c r="AK7" s="116" t="n">
        <f aca="false">ECONOMIA!N$26*C7/$C$6*(1+ENTRADAS!$C$27)^(2-1)</f>
        <v>6391.79549333308</v>
      </c>
      <c r="AL7" s="116" t="n">
        <f aca="false">AL6+AK7</f>
        <v>12392.4390372556</v>
      </c>
      <c r="AM7" s="116" t="n">
        <f aca="false">AL7-COMPARATIVO!N$34</f>
        <v>-12288.1009627444</v>
      </c>
    </row>
    <row r="8" customFormat="false" ht="15" hidden="false" customHeight="false" outlineLevel="0" collapsed="false">
      <c r="B8" s="115" t="n">
        <v>3</v>
      </c>
      <c r="C8" s="40" t="n">
        <f aca="false">(1-ENTRADAS!$C$33)*(1-ENTRADAS!$C$34)^(3-1)</f>
        <v>0.971199845</v>
      </c>
      <c r="D8" s="116" t="n">
        <f aca="false">ECONOMIA!C$26*C8/$C$6*(1+ENTRADAS!$C$27)^(3-1)</f>
        <v>6808.444682566</v>
      </c>
      <c r="E8" s="116" t="n">
        <f aca="false">E7+D8</f>
        <v>19200.8837198216</v>
      </c>
      <c r="F8" s="116" t="n">
        <f aca="false">E8-COMPARATIVO!C$34</f>
        <v>-10597.8162801784</v>
      </c>
      <c r="G8" s="116" t="n">
        <f aca="false">ECONOMIA!D$26*C8/$C$6*(1+ENTRADAS!$C$27)^(3-1)</f>
        <v>6808.444682566</v>
      </c>
      <c r="H8" s="116" t="n">
        <f aca="false">H7+G8</f>
        <v>19200.8837198216</v>
      </c>
      <c r="I8" s="116" t="n">
        <f aca="false">H8-COMPARATIVO!D$34</f>
        <v>-9677.01628017843</v>
      </c>
      <c r="J8" s="116" t="n">
        <f aca="false">ECONOMIA!E$26*C8/$C$6*(1+ENTRADAS!$C$27)^(3-1)</f>
        <v>6799.54676388799</v>
      </c>
      <c r="K8" s="116" t="n">
        <f aca="false">K7+J8</f>
        <v>19175.790191145</v>
      </c>
      <c r="L8" s="116" t="n">
        <f aca="false">K8-COMPARATIVO!E$34</f>
        <v>655.450191144995</v>
      </c>
      <c r="M8" s="116" t="n">
        <f aca="false">ECONOMIA!F$26*C8/$C$6*(1+ENTRADAS!$C$27)^(3-1)</f>
        <v>6799.54676388799</v>
      </c>
      <c r="N8" s="116" t="n">
        <f aca="false">N7+M8</f>
        <v>19175.790191145</v>
      </c>
      <c r="O8" s="116" t="n">
        <f aca="false">N8-COMPARATIVO!F$34</f>
        <v>-344.549808855005</v>
      </c>
      <c r="P8" s="116" t="n">
        <f aca="false">ECONOMIA!G$26*C8/$C$6*(1+ENTRADAS!$C$27)^(3-1)</f>
        <v>6175.10910315971</v>
      </c>
      <c r="Q8" s="116" t="n">
        <f aca="false">Q7+P8</f>
        <v>17414.7778787996</v>
      </c>
      <c r="R8" s="116" t="n">
        <f aca="false">Q8-COMPARATIVO!G$34</f>
        <v>-3934.13212120039</v>
      </c>
      <c r="S8" s="116" t="n">
        <f aca="false">ECONOMIA!H$26*C8/$C$6*(1+ENTRADAS!$C$27)^(3-1)</f>
        <v>5337.83606521376</v>
      </c>
      <c r="T8" s="116" t="n">
        <f aca="false">T7+S8</f>
        <v>15053.5363628763</v>
      </c>
      <c r="U8" s="116" t="n">
        <f aca="false">T8-COMPARATIVO!H$34</f>
        <v>165.89636287633</v>
      </c>
      <c r="V8" s="116" t="n">
        <f aca="false">ECONOMIA!I$26*C8/$C$6*(1+ENTRADAS!$C$27)^(3-1)</f>
        <v>6808.444682566</v>
      </c>
      <c r="W8" s="116" t="n">
        <f aca="false">W7+V8</f>
        <v>19200.8837198216</v>
      </c>
      <c r="X8" s="116" t="n">
        <f aca="false">W8-COMPARATIVO!I$34</f>
        <v>-1879.65628017843</v>
      </c>
      <c r="Y8" s="116" t="n">
        <f aca="false">ECONOMIA!J$26*C8/$C$6*(1+ENTRADAS!$C$27)^(3-1)</f>
        <v>6771.82671054063</v>
      </c>
      <c r="Z8" s="116" t="n">
        <f aca="false">Z7+Y8</f>
        <v>19097.615285444</v>
      </c>
      <c r="AA8" s="116" t="n">
        <f aca="false">Z8-COMPARATIVO!J$34</f>
        <v>-2135.38471455597</v>
      </c>
      <c r="AB8" s="116" t="n">
        <f aca="false">ECONOMIA!K$26*C8/$C$6*(1+ENTRADAS!$C$27)^(3-1)</f>
        <v>6808.444682566</v>
      </c>
      <c r="AC8" s="116" t="n">
        <f aca="false">AC7+AB8</f>
        <v>19200.8837198216</v>
      </c>
      <c r="AD8" s="116" t="n">
        <f aca="false">AC8-COMPARATIVO!K$34</f>
        <v>-189.11628017843</v>
      </c>
      <c r="AE8" s="116" t="n">
        <f aca="false">ECONOMIA!L$26*C8/$C$6*(1+ENTRADAS!$C$27)^(3-1)</f>
        <v>6794.92675499676</v>
      </c>
      <c r="AF8" s="116" t="n">
        <f aca="false">AF7+AE8</f>
        <v>19162.7610401948</v>
      </c>
      <c r="AG8" s="116" t="n">
        <f aca="false">AF8-COMPARATIVO!L$34</f>
        <v>462.761040194833</v>
      </c>
      <c r="AH8" s="116" t="n">
        <f aca="false">ECONOMIA!M$26*C8/$C$6*(1+ENTRADAS!$C$27)^(3-1)</f>
        <v>6808.444682566</v>
      </c>
      <c r="AI8" s="116" t="n">
        <f aca="false">AI7+AH8</f>
        <v>19200.8837198216</v>
      </c>
      <c r="AJ8" s="116" t="n">
        <f aca="false">AI8-COMPARATIVO!M$34</f>
        <v>-3679.65628017843</v>
      </c>
      <c r="AK8" s="116" t="n">
        <f aca="false">ECONOMIA!N$26*C8/$C$6*(1+ENTRADAS!$C$27)^(3-1)</f>
        <v>6808.444682566</v>
      </c>
      <c r="AL8" s="116" t="n">
        <f aca="false">AL7+AK8</f>
        <v>19200.8837198216</v>
      </c>
      <c r="AM8" s="116" t="n">
        <f aca="false">AL8-COMPARATIVO!N$34</f>
        <v>-5479.65628017843</v>
      </c>
    </row>
    <row r="9" customFormat="false" ht="15" hidden="false" customHeight="false" outlineLevel="0" collapsed="false">
      <c r="B9" s="115" t="n">
        <v>4</v>
      </c>
      <c r="C9" s="40" t="n">
        <f aca="false">(1-ENTRADAS!$C$33)*(1-ENTRADAS!$C$34)^(4-1)</f>
        <v>0.9668294456975</v>
      </c>
      <c r="D9" s="116" t="n">
        <f aca="false">ECONOMIA!C$26*C9/$C$6*(1+ENTRADAS!$C$27)^(4-1)</f>
        <v>7252.25314919906</v>
      </c>
      <c r="E9" s="116" t="n">
        <f aca="false">E8+D9</f>
        <v>26453.1368690206</v>
      </c>
      <c r="F9" s="116" t="n">
        <f aca="false">E9-COMPARATIVO!C$34</f>
        <v>-3345.56313097937</v>
      </c>
      <c r="G9" s="116" t="n">
        <f aca="false">ECONOMIA!D$26*C9/$C$6*(1+ENTRADAS!$C$27)^(4-1)</f>
        <v>7252.25314919906</v>
      </c>
      <c r="H9" s="116" t="n">
        <f aca="false">H8+G9</f>
        <v>26453.1368690206</v>
      </c>
      <c r="I9" s="116" t="n">
        <f aca="false">H9-COMPARATIVO!D$34</f>
        <v>-2424.76313097937</v>
      </c>
      <c r="J9" s="116" t="n">
        <f aca="false">ECONOMIA!E$26*C9/$C$6*(1+ENTRADAS!$C$27)^(4-1)</f>
        <v>7242.77521969203</v>
      </c>
      <c r="K9" s="116" t="n">
        <f aca="false">K8+J9</f>
        <v>26418.565410837</v>
      </c>
      <c r="L9" s="116" t="n">
        <f aca="false">K9-COMPARATIVO!E$34</f>
        <v>7898.22541083703</v>
      </c>
      <c r="M9" s="116" t="n">
        <f aca="false">ECONOMIA!F$26*C9/$C$6*(1+ENTRADAS!$C$27)^(4-1)</f>
        <v>7242.77521969203</v>
      </c>
      <c r="N9" s="116" t="n">
        <f aca="false">N8+M9</f>
        <v>26418.565410837</v>
      </c>
      <c r="O9" s="116" t="n">
        <f aca="false">N9-COMPARATIVO!F$34</f>
        <v>6898.22541083703</v>
      </c>
      <c r="P9" s="116" t="n">
        <f aca="false">ECONOMIA!G$26*C9/$C$6*(1+ENTRADAS!$C$27)^(4-1)</f>
        <v>6577.63359004917</v>
      </c>
      <c r="Q9" s="116" t="n">
        <f aca="false">Q8+P9</f>
        <v>23992.4114688488</v>
      </c>
      <c r="R9" s="116" t="n">
        <f aca="false">Q9-COMPARATIVO!G$34</f>
        <v>2643.50146884879</v>
      </c>
      <c r="S9" s="116" t="n">
        <f aca="false">ECONOMIA!H$26*C9/$C$6*(1+ENTRADAS!$C$27)^(4-1)</f>
        <v>5685.78290912472</v>
      </c>
      <c r="T9" s="116" t="n">
        <f aca="false">T8+S9</f>
        <v>20739.319272001</v>
      </c>
      <c r="U9" s="116" t="n">
        <f aca="false">T9-COMPARATIVO!H$34</f>
        <v>5851.67927200105</v>
      </c>
      <c r="V9" s="116" t="n">
        <f aca="false">ECONOMIA!I$26*C9/$C$6*(1+ENTRADAS!$C$27)^(4-1)</f>
        <v>7252.25314919906</v>
      </c>
      <c r="W9" s="116" t="n">
        <f aca="false">W8+V9</f>
        <v>26453.1368690206</v>
      </c>
      <c r="X9" s="116" t="n">
        <f aca="false">W9-COMPARATIVO!I$34</f>
        <v>5372.59686902063</v>
      </c>
      <c r="Y9" s="116" t="n">
        <f aca="false">ECONOMIA!J$26*C9/$C$6*(1+ENTRADAS!$C$27)^(4-1)</f>
        <v>7213.24823466723</v>
      </c>
      <c r="Z9" s="116" t="n">
        <f aca="false">Z8+Y9</f>
        <v>26310.8635201113</v>
      </c>
      <c r="AA9" s="116" t="n">
        <f aca="false">Z9-COMPARATIVO!J$34</f>
        <v>5077.86352011126</v>
      </c>
      <c r="AB9" s="116" t="n">
        <f aca="false">ECONOMIA!K$26*C9/$C$6*(1+ENTRADAS!$C$27)^(4-1)</f>
        <v>7252.25314919906</v>
      </c>
      <c r="AC9" s="116" t="n">
        <f aca="false">AC8+AB9</f>
        <v>26453.1368690206</v>
      </c>
      <c r="AD9" s="116" t="n">
        <f aca="false">AC9-COMPARATIVO!K$34</f>
        <v>7063.13686902063</v>
      </c>
      <c r="AE9" s="116" t="n">
        <f aca="false">ECONOMIA!L$26*C9/$C$6*(1+ENTRADAS!$C$27)^(4-1)</f>
        <v>7237.85405552123</v>
      </c>
      <c r="AF9" s="116" t="n">
        <f aca="false">AF8+AE9</f>
        <v>26400.6150957161</v>
      </c>
      <c r="AG9" s="116" t="n">
        <f aca="false">AF9-COMPARATIVO!L$34</f>
        <v>7700.61509571606</v>
      </c>
      <c r="AH9" s="116" t="n">
        <f aca="false">ECONOMIA!M$26*C9/$C$6*(1+ENTRADAS!$C$27)^(4-1)</f>
        <v>7252.25314919906</v>
      </c>
      <c r="AI9" s="116" t="n">
        <f aca="false">AI8+AH9</f>
        <v>26453.1368690206</v>
      </c>
      <c r="AJ9" s="116" t="n">
        <f aca="false">AI9-COMPARATIVO!M$34</f>
        <v>3572.59686902063</v>
      </c>
      <c r="AK9" s="116" t="n">
        <f aca="false">ECONOMIA!N$26*C9/$C$6*(1+ENTRADAS!$C$27)^(4-1)</f>
        <v>7252.25314919906</v>
      </c>
      <c r="AL9" s="116" t="n">
        <f aca="false">AL8+AK9</f>
        <v>26453.1368690206</v>
      </c>
      <c r="AM9" s="116" t="n">
        <f aca="false">AL9-COMPARATIVO!N$34</f>
        <v>1772.59686902063</v>
      </c>
    </row>
    <row r="10" customFormat="false" ht="15" hidden="false" customHeight="false" outlineLevel="0" collapsed="false">
      <c r="B10" s="117" t="n">
        <v>5</v>
      </c>
      <c r="C10" s="118" t="n">
        <f aca="false">(1-ENTRADAS!$C$33)*(1-ENTRADAS!$C$34)^(5-1)</f>
        <v>0.962478713191861</v>
      </c>
      <c r="D10" s="119" t="n">
        <f aca="false">ECONOMIA!C$26*C10/$C$6*(1+ENTRADAS!$C$27)^(5-1)</f>
        <v>7724.9912707296</v>
      </c>
      <c r="E10" s="119" t="n">
        <f aca="false">E9+D10</f>
        <v>34178.1281397502</v>
      </c>
      <c r="F10" s="119" t="n">
        <f aca="false">E10-COMPARATIVO!C$34</f>
        <v>4379.42813975023</v>
      </c>
      <c r="G10" s="119" t="n">
        <f aca="false">ECONOMIA!D$26*C10/$C$6*(1+ENTRADAS!$C$27)^(5-1)</f>
        <v>7724.9912707296</v>
      </c>
      <c r="H10" s="119" t="n">
        <f aca="false">H9+G10</f>
        <v>34178.1281397502</v>
      </c>
      <c r="I10" s="119" t="n">
        <f aca="false">H10-COMPARATIVO!D$34</f>
        <v>5300.22813975023</v>
      </c>
      <c r="J10" s="119" t="n">
        <f aca="false">ECONOMIA!E$26*C10/$C$6*(1+ENTRADAS!$C$27)^(5-1)</f>
        <v>7714.89552238766</v>
      </c>
      <c r="K10" s="119" t="n">
        <f aca="false">K9+J10</f>
        <v>34133.4609332247</v>
      </c>
      <c r="L10" s="119" t="n">
        <f aca="false">K10-COMPARATIVO!E$34</f>
        <v>15613.1209332247</v>
      </c>
      <c r="M10" s="119" t="n">
        <f aca="false">ECONOMIA!F$26*C10/$C$6*(1+ENTRADAS!$C$27)^(5-1)</f>
        <v>7714.89552238766</v>
      </c>
      <c r="N10" s="119" t="n">
        <f aca="false">N9+M10</f>
        <v>34133.4609332247</v>
      </c>
      <c r="O10" s="119" t="n">
        <f aca="false">N10-COMPARATIVO!F$34</f>
        <v>14613.1209332247</v>
      </c>
      <c r="P10" s="119" t="n">
        <f aca="false">ECONOMIA!G$26*C10/$C$6*(1+ENTRADAS!$C$27)^(5-1)</f>
        <v>7006.39663561653</v>
      </c>
      <c r="Q10" s="119" t="n">
        <f aca="false">Q9+P10</f>
        <v>30998.8081044653</v>
      </c>
      <c r="R10" s="119" t="n">
        <f aca="false">Q10-COMPARATIVO!G$34</f>
        <v>9649.89810446532</v>
      </c>
      <c r="S10" s="119" t="n">
        <f aca="false">ECONOMIA!H$26*C10/$C$6*(1+ENTRADAS!$C$27)^(5-1)</f>
        <v>6056.41066805601</v>
      </c>
      <c r="T10" s="119" t="n">
        <f aca="false">T9+S10</f>
        <v>26795.7299400571</v>
      </c>
      <c r="U10" s="119" t="n">
        <f aca="false">T10-COMPARATIVO!H$34</f>
        <v>11908.0899400571</v>
      </c>
      <c r="V10" s="119" t="n">
        <f aca="false">ECONOMIA!I$26*C10/$C$6*(1+ENTRADAS!$C$27)^(5-1)</f>
        <v>7724.9912707296</v>
      </c>
      <c r="W10" s="119" t="n">
        <f aca="false">W9+V10</f>
        <v>34178.1281397502</v>
      </c>
      <c r="X10" s="119" t="n">
        <f aca="false">W10-COMPARATIVO!I$34</f>
        <v>13097.5881397502</v>
      </c>
      <c r="Y10" s="119" t="n">
        <f aca="false">ECONOMIA!J$26*C10/$C$6*(1+ENTRADAS!$C$27)^(5-1)</f>
        <v>7683.44382084401</v>
      </c>
      <c r="Z10" s="119" t="n">
        <f aca="false">Z9+Y10</f>
        <v>33994.3073409553</v>
      </c>
      <c r="AA10" s="119" t="n">
        <f aca="false">Z10-COMPARATIVO!J$34</f>
        <v>12761.3073409553</v>
      </c>
      <c r="AB10" s="119" t="n">
        <f aca="false">ECONOMIA!K$26*C10/$C$6*(1+ENTRADAS!$C$27)^(5-1)</f>
        <v>7724.9912707296</v>
      </c>
      <c r="AC10" s="119" t="n">
        <f aca="false">AC9+AB10</f>
        <v>34178.1281397502</v>
      </c>
      <c r="AD10" s="119" t="n">
        <f aca="false">AC10-COMPARATIVO!K$34</f>
        <v>14788.1281397502</v>
      </c>
      <c r="AE10" s="119" t="n">
        <f aca="false">ECONOMIA!L$26*C10/$C$6*(1+ENTRADAS!$C$27)^(5-1)</f>
        <v>7709.65357213038</v>
      </c>
      <c r="AF10" s="119" t="n">
        <f aca="false">AF9+AE10</f>
        <v>34110.2686678464</v>
      </c>
      <c r="AG10" s="119" t="n">
        <f aca="false">AF10-COMPARATIVO!L$34</f>
        <v>15410.2686678464</v>
      </c>
      <c r="AH10" s="119" t="n">
        <f aca="false">ECONOMIA!M$26*C10/$C$6*(1+ENTRADAS!$C$27)^(5-1)</f>
        <v>7724.9912707296</v>
      </c>
      <c r="AI10" s="119" t="n">
        <f aca="false">AI9+AH10</f>
        <v>34178.1281397502</v>
      </c>
      <c r="AJ10" s="119" t="n">
        <f aca="false">AI10-COMPARATIVO!M$34</f>
        <v>11297.5881397502</v>
      </c>
      <c r="AK10" s="119" t="n">
        <f aca="false">ECONOMIA!N$26*C10/$C$6*(1+ENTRADAS!$C$27)^(5-1)</f>
        <v>7724.9912707296</v>
      </c>
      <c r="AL10" s="119" t="n">
        <f aca="false">AL9+AK10</f>
        <v>34178.1281397502</v>
      </c>
      <c r="AM10" s="119" t="n">
        <f aca="false">AL10-COMPARATIVO!N$34</f>
        <v>9497.58813975023</v>
      </c>
    </row>
    <row r="11" customFormat="false" ht="15" hidden="false" customHeight="false" outlineLevel="0" collapsed="false">
      <c r="B11" s="115" t="n">
        <v>6</v>
      </c>
      <c r="C11" s="40" t="n">
        <f aca="false">(1-ENTRADAS!$C$33)*(1-ENTRADAS!$C$34)^(6-1)</f>
        <v>0.958147558982498</v>
      </c>
      <c r="D11" s="116" t="n">
        <f aca="false">ECONOMIA!C$26*C11/$C$6*(1+ENTRADAS!$C$27)^(6-1)</f>
        <v>8228.54482671212</v>
      </c>
      <c r="E11" s="116" t="n">
        <f aca="false">E10+D11</f>
        <v>42406.6729664624</v>
      </c>
      <c r="F11" s="116" t="n">
        <f aca="false">E11-COMPARATIVO!C$34</f>
        <v>12607.9729664623</v>
      </c>
      <c r="G11" s="116" t="n">
        <f aca="false">ECONOMIA!D$26*C11/$C$6*(1+ENTRADAS!$C$27)^(6-1)</f>
        <v>8228.54482671212</v>
      </c>
      <c r="H11" s="116" t="n">
        <f aca="false">H10+G11</f>
        <v>42406.6729664624</v>
      </c>
      <c r="I11" s="116" t="n">
        <f aca="false">H11-COMPARATIVO!D$34</f>
        <v>13528.7729664623</v>
      </c>
      <c r="J11" s="116" t="n">
        <f aca="false">ECONOMIA!E$26*C11/$C$6*(1+ENTRADAS!$C$27)^(6-1)</f>
        <v>8217.7909870145</v>
      </c>
      <c r="K11" s="116" t="n">
        <f aca="false">K10+J11</f>
        <v>42351.2519202392</v>
      </c>
      <c r="L11" s="116" t="n">
        <f aca="false">K11-COMPARATIVO!E$34</f>
        <v>23830.9119202392</v>
      </c>
      <c r="M11" s="116" t="n">
        <f aca="false">ECONOMIA!F$26*C11/$C$6*(1+ENTRADAS!$C$27)^(6-1)</f>
        <v>8217.7909870145</v>
      </c>
      <c r="N11" s="116" t="n">
        <f aca="false">N10+M11</f>
        <v>42351.2519202392</v>
      </c>
      <c r="O11" s="116" t="n">
        <f aca="false">N11-COMPARATIVO!F$34</f>
        <v>22830.9119202392</v>
      </c>
      <c r="P11" s="116" t="n">
        <f aca="false">ECONOMIA!G$26*C11/$C$6*(1+ENTRADAS!$C$27)^(6-1)</f>
        <v>7463.10860030919</v>
      </c>
      <c r="Q11" s="116" t="n">
        <f aca="false">Q10+P11</f>
        <v>38461.9167047745</v>
      </c>
      <c r="R11" s="116" t="n">
        <f aca="false">Q11-COMPARATIVO!G$34</f>
        <v>17113.0067047745</v>
      </c>
      <c r="S11" s="116" t="n">
        <f aca="false">ECONOMIA!H$26*C11/$C$6*(1+ENTRADAS!$C$27)^(6-1)</f>
        <v>6451.19779745324</v>
      </c>
      <c r="T11" s="116" t="n">
        <f aca="false">T10+S11</f>
        <v>33246.9277375103</v>
      </c>
      <c r="U11" s="116" t="n">
        <f aca="false">T11-COMPARATIVO!H$34</f>
        <v>18359.2877375103</v>
      </c>
      <c r="V11" s="116" t="n">
        <f aca="false">ECONOMIA!I$26*C11/$C$6*(1+ENTRADAS!$C$27)^(6-1)</f>
        <v>8228.54482671212</v>
      </c>
      <c r="W11" s="116" t="n">
        <f aca="false">W10+V11</f>
        <v>42406.6729664624</v>
      </c>
      <c r="X11" s="116" t="n">
        <f aca="false">W11-COMPARATIVO!I$34</f>
        <v>21326.1329664623</v>
      </c>
      <c r="Y11" s="116" t="n">
        <f aca="false">ECONOMIA!J$26*C11/$C$6*(1+ENTRADAS!$C$27)^(6-1)</f>
        <v>8184.28910630573</v>
      </c>
      <c r="Z11" s="116" t="n">
        <f aca="false">Z10+Y11</f>
        <v>42178.596447261</v>
      </c>
      <c r="AA11" s="116" t="n">
        <f aca="false">Z11-COMPARATIVO!J$34</f>
        <v>20945.596447261</v>
      </c>
      <c r="AB11" s="116" t="n">
        <f aca="false">ECONOMIA!K$26*C11/$C$6*(1+ENTRADAS!$C$27)^(6-1)</f>
        <v>8228.54482671212</v>
      </c>
      <c r="AC11" s="116" t="n">
        <f aca="false">AC10+AB11</f>
        <v>42406.6729664624</v>
      </c>
      <c r="AD11" s="116" t="n">
        <f aca="false">AC11-COMPARATIVO!K$34</f>
        <v>23016.6729664624</v>
      </c>
      <c r="AE11" s="116" t="n">
        <f aca="false">ECONOMIA!L$26*C11/$C$6*(1+ENTRADAS!$C$27)^(6-1)</f>
        <v>8212.2073402297</v>
      </c>
      <c r="AF11" s="116" t="n">
        <f aca="false">AF10+AE11</f>
        <v>42322.4760080761</v>
      </c>
      <c r="AG11" s="116" t="n">
        <f aca="false">AF11-COMPARATIVO!L$34</f>
        <v>23622.4760080761</v>
      </c>
      <c r="AH11" s="116" t="n">
        <f aca="false">ECONOMIA!M$26*C11/$C$6*(1+ENTRADAS!$C$27)^(6-1)</f>
        <v>8228.54482671212</v>
      </c>
      <c r="AI11" s="116" t="n">
        <f aca="false">AI10+AH11</f>
        <v>42406.6729664624</v>
      </c>
      <c r="AJ11" s="116" t="n">
        <f aca="false">AI11-COMPARATIVO!M$34</f>
        <v>19526.1329664623</v>
      </c>
      <c r="AK11" s="116" t="n">
        <f aca="false">ECONOMIA!N$26*C11/$C$6*(1+ENTRADAS!$C$27)^(6-1)</f>
        <v>8228.54482671212</v>
      </c>
      <c r="AL11" s="116" t="n">
        <f aca="false">AL10+AK11</f>
        <v>42406.6729664624</v>
      </c>
      <c r="AM11" s="116" t="n">
        <f aca="false">AL11-COMPARATIVO!N$34</f>
        <v>17726.1329664623</v>
      </c>
    </row>
    <row r="12" customFormat="false" ht="15" hidden="false" customHeight="false" outlineLevel="0" collapsed="false">
      <c r="B12" s="115" t="n">
        <v>7</v>
      </c>
      <c r="C12" s="40" t="n">
        <f aca="false">(1-ENTRADAS!$C$33)*(1-ENTRADAS!$C$34)^(7-1)</f>
        <v>0.953835894967077</v>
      </c>
      <c r="D12" s="116" t="n">
        <f aca="false">ECONOMIA!C$26*C12/$C$6*(1+ENTRADAS!$C$27)^(7-1)</f>
        <v>8764.92252124135</v>
      </c>
      <c r="E12" s="116" t="n">
        <f aca="false">E11+D12</f>
        <v>51171.5954877037</v>
      </c>
      <c r="F12" s="116" t="n">
        <f aca="false">E12-COMPARATIVO!C$34</f>
        <v>21372.8954877037</v>
      </c>
      <c r="G12" s="116" t="n">
        <f aca="false">ECONOMIA!D$26*C12/$C$6*(1+ENTRADAS!$C$27)^(7-1)</f>
        <v>8764.92252124135</v>
      </c>
      <c r="H12" s="116" t="n">
        <f aca="false">H11+G12</f>
        <v>51171.5954877037</v>
      </c>
      <c r="I12" s="116" t="n">
        <f aca="false">H12-COMPARATIVO!D$34</f>
        <v>22293.6954877037</v>
      </c>
      <c r="J12" s="116" t="n">
        <f aca="false">ECONOMIA!E$26*C12/$C$6*(1+ENTRADAS!$C$27)^(7-1)</f>
        <v>8753.46769250304</v>
      </c>
      <c r="K12" s="116" t="n">
        <f aca="false">K11+J12</f>
        <v>51104.7196127422</v>
      </c>
      <c r="L12" s="116" t="n">
        <f aca="false">K12-COMPARATIVO!E$34</f>
        <v>32584.3796127422</v>
      </c>
      <c r="M12" s="116" t="n">
        <f aca="false">ECONOMIA!F$26*C12/$C$6*(1+ENTRADAS!$C$27)^(7-1)</f>
        <v>8753.46769250304</v>
      </c>
      <c r="N12" s="116" t="n">
        <f aca="false">N11+M12</f>
        <v>51104.7196127422</v>
      </c>
      <c r="O12" s="116" t="n">
        <f aca="false">N12-COMPARATIVO!F$34</f>
        <v>31584.3796127422</v>
      </c>
      <c r="P12" s="116" t="n">
        <f aca="false">ECONOMIA!G$26*C12/$C$6*(1+ENTRADAS!$C$27)^(7-1)</f>
        <v>7949.59133442035</v>
      </c>
      <c r="Q12" s="116" t="n">
        <f aca="false">Q11+P12</f>
        <v>46411.5080391949</v>
      </c>
      <c r="R12" s="116" t="n">
        <f aca="false">Q12-COMPARATIVO!G$34</f>
        <v>25062.5980391949</v>
      </c>
      <c r="S12" s="116" t="n">
        <f aca="false">ECONOMIA!H$26*C12/$C$6*(1+ENTRADAS!$C$27)^(7-1)</f>
        <v>6871.71912588023</v>
      </c>
      <c r="T12" s="116" t="n">
        <f aca="false">T11+S12</f>
        <v>40118.6468633905</v>
      </c>
      <c r="U12" s="116" t="n">
        <f aca="false">T12-COMPARATIVO!H$34</f>
        <v>25231.0068633905</v>
      </c>
      <c r="V12" s="116" t="n">
        <f aca="false">ECONOMIA!I$26*C12/$C$6*(1+ENTRADAS!$C$27)^(7-1)</f>
        <v>8764.92252124135</v>
      </c>
      <c r="W12" s="116" t="n">
        <f aca="false">W11+V12</f>
        <v>51171.5954877037</v>
      </c>
      <c r="X12" s="116" t="n">
        <f aca="false">W12-COMPARATIVO!I$34</f>
        <v>30091.0554877037</v>
      </c>
      <c r="Y12" s="116" t="n">
        <f aca="false">ECONOMIA!J$26*C12/$C$6*(1+ENTRADAS!$C$27)^(7-1)</f>
        <v>8717.78199170027</v>
      </c>
      <c r="Z12" s="116" t="n">
        <f aca="false">Z11+Y12</f>
        <v>50896.3784389613</v>
      </c>
      <c r="AA12" s="116" t="n">
        <f aca="false">Z12-COMPARATIVO!J$34</f>
        <v>29663.3784389613</v>
      </c>
      <c r="AB12" s="116" t="n">
        <f aca="false">ECONOMIA!K$26*C12/$C$6*(1+ENTRADAS!$C$27)^(7-1)</f>
        <v>8764.92252124135</v>
      </c>
      <c r="AC12" s="116" t="n">
        <f aca="false">AC11+AB12</f>
        <v>51171.5954877037</v>
      </c>
      <c r="AD12" s="116" t="n">
        <f aca="false">AC12-COMPARATIVO!K$34</f>
        <v>31781.5954877037</v>
      </c>
      <c r="AE12" s="116" t="n">
        <f aca="false">ECONOMIA!L$26*C12/$C$6*(1+ENTRADAS!$C$27)^(7-1)</f>
        <v>8747.52007570258</v>
      </c>
      <c r="AF12" s="116" t="n">
        <f aca="false">AF11+AE12</f>
        <v>51069.9960837787</v>
      </c>
      <c r="AG12" s="116" t="n">
        <f aca="false">AF12-COMPARATIVO!L$34</f>
        <v>32369.9960837787</v>
      </c>
      <c r="AH12" s="116" t="n">
        <f aca="false">ECONOMIA!M$26*C12/$C$6*(1+ENTRADAS!$C$27)^(7-1)</f>
        <v>8764.92252124135</v>
      </c>
      <c r="AI12" s="116" t="n">
        <f aca="false">AI11+AH12</f>
        <v>51171.5954877037</v>
      </c>
      <c r="AJ12" s="116" t="n">
        <f aca="false">AI12-COMPARATIVO!M$34</f>
        <v>28291.0554877037</v>
      </c>
      <c r="AK12" s="116" t="n">
        <f aca="false">ECONOMIA!N$26*C12/$C$6*(1+ENTRADAS!$C$27)^(7-1)</f>
        <v>8764.92252124135</v>
      </c>
      <c r="AL12" s="116" t="n">
        <f aca="false">AL11+AK12</f>
        <v>51171.5954877037</v>
      </c>
      <c r="AM12" s="116" t="n">
        <f aca="false">AL12-COMPARATIVO!N$34</f>
        <v>26491.0554877037</v>
      </c>
    </row>
    <row r="13" customFormat="false" ht="15" hidden="false" customHeight="false" outlineLevel="0" collapsed="false">
      <c r="B13" s="115" t="n">
        <v>8</v>
      </c>
      <c r="C13" s="40" t="n">
        <f aca="false">(1-ENTRADAS!$C$33)*(1-ENTRADAS!$C$34)^(8-1)</f>
        <v>0.949543633439725</v>
      </c>
      <c r="D13" s="116" t="n">
        <f aca="false">ECONOMIA!C$26*C13/$C$6*(1+ENTRADAS!$C$27)^(8-1)</f>
        <v>9336.26399578846</v>
      </c>
      <c r="E13" s="116" t="n">
        <f aca="false">E12+D13</f>
        <v>60507.8594834922</v>
      </c>
      <c r="F13" s="116" t="n">
        <f aca="false">E13-COMPARATIVO!C$34</f>
        <v>30709.1594834922</v>
      </c>
      <c r="G13" s="116" t="n">
        <f aca="false">ECONOMIA!D$26*C13/$C$6*(1+ENTRADAS!$C$27)^(8-1)</f>
        <v>9336.26399578846</v>
      </c>
      <c r="H13" s="116" t="n">
        <f aca="false">H12+G13</f>
        <v>60507.8594834922</v>
      </c>
      <c r="I13" s="116" t="n">
        <f aca="false">H13-COMPARATIVO!D$34</f>
        <v>31629.9594834922</v>
      </c>
      <c r="J13" s="116" t="n">
        <f aca="false">ECONOMIA!E$26*C13/$C$6*(1+ENTRADAS!$C$27)^(8-1)</f>
        <v>9324.06248403885</v>
      </c>
      <c r="K13" s="116" t="n">
        <f aca="false">K12+J13</f>
        <v>60428.7820967811</v>
      </c>
      <c r="L13" s="116" t="n">
        <f aca="false">K13-COMPARATIVO!E$34</f>
        <v>41908.4420967811</v>
      </c>
      <c r="M13" s="116" t="n">
        <f aca="false">ECONOMIA!F$26*C13/$C$6*(1+ENTRADAS!$C$27)^(8-1)</f>
        <v>9324.06248403885</v>
      </c>
      <c r="N13" s="116" t="n">
        <f aca="false">N12+M13</f>
        <v>60428.7820967811</v>
      </c>
      <c r="O13" s="116" t="n">
        <f aca="false">N13-COMPARATIVO!F$34</f>
        <v>40908.4420967811</v>
      </c>
      <c r="P13" s="116" t="n">
        <f aca="false">ECONOMIA!G$26*C13/$C$6*(1+ENTRADAS!$C$27)^(8-1)</f>
        <v>8467.78544555454</v>
      </c>
      <c r="Q13" s="116" t="n">
        <f aca="false">Q12+P13</f>
        <v>54879.2934847494</v>
      </c>
      <c r="R13" s="116" t="n">
        <f aca="false">Q13-COMPARATIVO!G$34</f>
        <v>33530.3834847494</v>
      </c>
      <c r="S13" s="116" t="n">
        <f aca="false">ECONOMIA!H$26*C13/$C$6*(1+ENTRADAS!$C$27)^(8-1)</f>
        <v>7319.65213710074</v>
      </c>
      <c r="T13" s="116" t="n">
        <f aca="false">T12+S13</f>
        <v>47438.2990004913</v>
      </c>
      <c r="U13" s="116" t="n">
        <f aca="false">T13-COMPARATIVO!H$34</f>
        <v>32550.6590004913</v>
      </c>
      <c r="V13" s="116" t="n">
        <f aca="false">ECONOMIA!I$26*C13/$C$6*(1+ENTRADAS!$C$27)^(8-1)</f>
        <v>9336.26399578846</v>
      </c>
      <c r="W13" s="116" t="n">
        <f aca="false">W12+V13</f>
        <v>60507.8594834922</v>
      </c>
      <c r="X13" s="116" t="n">
        <f aca="false">W13-COMPARATIVO!I$34</f>
        <v>39427.3194834922</v>
      </c>
      <c r="Y13" s="116" t="n">
        <f aca="false">ECONOMIA!J$26*C13/$C$6*(1+ENTRADAS!$C$27)^(8-1)</f>
        <v>9286.05061082925</v>
      </c>
      <c r="Z13" s="116" t="n">
        <f aca="false">Z12+Y13</f>
        <v>60182.4290497905</v>
      </c>
      <c r="AA13" s="116" t="n">
        <f aca="false">Z13-COMPARATIVO!J$34</f>
        <v>38949.4290497905</v>
      </c>
      <c r="AB13" s="116" t="n">
        <f aca="false">ECONOMIA!K$26*C13/$C$6*(1+ENTRADAS!$C$27)^(8-1)</f>
        <v>9336.26399578846</v>
      </c>
      <c r="AC13" s="116" t="n">
        <f aca="false">AC12+AB13</f>
        <v>60507.8594834922</v>
      </c>
      <c r="AD13" s="116" t="n">
        <f aca="false">AC13-COMPARATIVO!K$34</f>
        <v>41117.8594834922</v>
      </c>
      <c r="AE13" s="116" t="n">
        <f aca="false">ECONOMIA!L$26*C13/$C$6*(1+ENTRADAS!$C$27)^(8-1)</f>
        <v>9317.72717183725</v>
      </c>
      <c r="AF13" s="116" t="n">
        <f aca="false">AF12+AE13</f>
        <v>60387.723255616</v>
      </c>
      <c r="AG13" s="116" t="n">
        <f aca="false">AF13-COMPARATIVO!L$34</f>
        <v>41687.723255616</v>
      </c>
      <c r="AH13" s="116" t="n">
        <f aca="false">ECONOMIA!M$26*C13/$C$6*(1+ENTRADAS!$C$27)^(8-1)</f>
        <v>9336.26399578846</v>
      </c>
      <c r="AI13" s="116" t="n">
        <f aca="false">AI12+AH13</f>
        <v>60507.8594834922</v>
      </c>
      <c r="AJ13" s="116" t="n">
        <f aca="false">AI13-COMPARATIVO!M$34</f>
        <v>37627.3194834922</v>
      </c>
      <c r="AK13" s="116" t="n">
        <f aca="false">ECONOMIA!N$26*C13/$C$6*(1+ENTRADAS!$C$27)^(8-1)</f>
        <v>9336.26399578846</v>
      </c>
      <c r="AL13" s="116" t="n">
        <f aca="false">AL12+AK13</f>
        <v>60507.8594834922</v>
      </c>
      <c r="AM13" s="116" t="n">
        <f aca="false">AL13-COMPARATIVO!N$34</f>
        <v>35827.3194834922</v>
      </c>
    </row>
    <row r="14" customFormat="false" ht="15" hidden="false" customHeight="false" outlineLevel="0" collapsed="false">
      <c r="B14" s="115" t="n">
        <v>9</v>
      </c>
      <c r="C14" s="40" t="n">
        <f aca="false">(1-ENTRADAS!$C$33)*(1-ENTRADAS!$C$34)^(9-1)</f>
        <v>0.945270687089246</v>
      </c>
      <c r="D14" s="116" t="n">
        <f aca="false">ECONOMIA!C$26*C14/$C$6*(1+ENTRADAS!$C$27)^(9-1)</f>
        <v>9944.84836435394</v>
      </c>
      <c r="E14" s="116" t="n">
        <f aca="false">E13+D14</f>
        <v>70452.7078478461</v>
      </c>
      <c r="F14" s="116" t="n">
        <f aca="false">E14-COMPARATIVO!C$34</f>
        <v>40654.0078478461</v>
      </c>
      <c r="G14" s="116" t="n">
        <f aca="false">ECONOMIA!D$26*C14/$C$6*(1+ENTRADAS!$C$27)^(9-1)</f>
        <v>9944.84836435394</v>
      </c>
      <c r="H14" s="116" t="n">
        <f aca="false">H13+G14</f>
        <v>70452.7078478461</v>
      </c>
      <c r="I14" s="116" t="n">
        <f aca="false">H14-COMPARATIVO!D$34</f>
        <v>41574.8078478461</v>
      </c>
      <c r="J14" s="116" t="n">
        <f aca="false">ECONOMIA!E$26*C14/$C$6*(1+ENTRADAS!$C$27)^(9-1)</f>
        <v>9931.85149706092</v>
      </c>
      <c r="K14" s="116" t="n">
        <f aca="false">K13+J14</f>
        <v>70360.633593842</v>
      </c>
      <c r="L14" s="116" t="n">
        <f aca="false">K14-COMPARATIVO!E$34</f>
        <v>51840.293593842</v>
      </c>
      <c r="M14" s="116" t="n">
        <f aca="false">ECONOMIA!F$26*C14/$C$6*(1+ENTRADAS!$C$27)^(9-1)</f>
        <v>9931.85149706092</v>
      </c>
      <c r="N14" s="116" t="n">
        <f aca="false">N13+M14</f>
        <v>70360.633593842</v>
      </c>
      <c r="O14" s="116" t="n">
        <f aca="false">N14-COMPARATIVO!F$34</f>
        <v>50840.293593842</v>
      </c>
      <c r="P14" s="116" t="n">
        <f aca="false">ECONOMIA!G$26*C14/$C$6*(1+ENTRADAS!$C$27)^(9-1)</f>
        <v>9019.75803982302</v>
      </c>
      <c r="Q14" s="116" t="n">
        <f aca="false">Q13+P14</f>
        <v>63899.0515245724</v>
      </c>
      <c r="R14" s="116" t="n">
        <f aca="false">Q14-COMPARATIVO!G$34</f>
        <v>42550.1415245724</v>
      </c>
      <c r="S14" s="116" t="n">
        <f aca="false">ECONOMIA!H$26*C14/$C$6*(1+ENTRADAS!$C$27)^(9-1)</f>
        <v>7796.78366165765</v>
      </c>
      <c r="T14" s="116" t="n">
        <f aca="false">T13+S14</f>
        <v>55235.0826621489</v>
      </c>
      <c r="U14" s="116" t="n">
        <f aca="false">T14-COMPARATIVO!H$34</f>
        <v>40347.4426621489</v>
      </c>
      <c r="V14" s="116" t="n">
        <f aca="false">ECONOMIA!I$26*C14/$C$6*(1+ENTRADAS!$C$27)^(9-1)</f>
        <v>9944.84836435394</v>
      </c>
      <c r="W14" s="116" t="n">
        <f aca="false">W13+V14</f>
        <v>70452.7078478461</v>
      </c>
      <c r="X14" s="116" t="n">
        <f aca="false">W14-COMPARATIVO!I$34</f>
        <v>49372.1678478461</v>
      </c>
      <c r="Y14" s="116" t="n">
        <f aca="false">ECONOMIA!J$26*C14/$C$6*(1+ENTRADAS!$C$27)^(9-1)</f>
        <v>9891.36181989616</v>
      </c>
      <c r="Z14" s="116" t="n">
        <f aca="false">Z13+Y14</f>
        <v>70073.7908696867</v>
      </c>
      <c r="AA14" s="116" t="n">
        <f aca="false">Z14-COMPARATIVO!J$34</f>
        <v>48840.7908696867</v>
      </c>
      <c r="AB14" s="116" t="n">
        <f aca="false">ECONOMIA!K$26*C14/$C$6*(1+ENTRADAS!$C$27)^(9-1)</f>
        <v>9944.84836435394</v>
      </c>
      <c r="AC14" s="116" t="n">
        <f aca="false">AC13+AB14</f>
        <v>70452.7078478461</v>
      </c>
      <c r="AD14" s="116" t="n">
        <f aca="false">AC14-COMPARATIVO!K$34</f>
        <v>51062.7078478461</v>
      </c>
      <c r="AE14" s="116" t="n">
        <f aca="false">ECONOMIA!L$26*C14/$C$6*(1+ENTRADAS!$C$27)^(9-1)</f>
        <v>9925.10321753346</v>
      </c>
      <c r="AF14" s="116" t="n">
        <f aca="false">AF13+AE14</f>
        <v>70312.8264731494</v>
      </c>
      <c r="AG14" s="116" t="n">
        <f aca="false">AF14-COMPARATIVO!L$34</f>
        <v>51612.8264731494</v>
      </c>
      <c r="AH14" s="116" t="n">
        <f aca="false">ECONOMIA!M$26*C14/$C$6*(1+ENTRADAS!$C$27)^(9-1)</f>
        <v>9944.84836435394</v>
      </c>
      <c r="AI14" s="116" t="n">
        <f aca="false">AI13+AH14</f>
        <v>70452.7078478461</v>
      </c>
      <c r="AJ14" s="116" t="n">
        <f aca="false">AI14-COMPARATIVO!M$34</f>
        <v>47572.1678478461</v>
      </c>
      <c r="AK14" s="116" t="n">
        <f aca="false">ECONOMIA!N$26*C14/$C$6*(1+ENTRADAS!$C$27)^(9-1)</f>
        <v>9944.84836435394</v>
      </c>
      <c r="AL14" s="116" t="n">
        <f aca="false">AL13+AK14</f>
        <v>70452.7078478461</v>
      </c>
      <c r="AM14" s="116" t="n">
        <f aca="false">AL14-COMPARATIVO!N$34</f>
        <v>45772.1678478461</v>
      </c>
    </row>
    <row r="15" customFormat="false" ht="15" hidden="false" customHeight="false" outlineLevel="0" collapsed="false">
      <c r="B15" s="117" t="n">
        <v>10</v>
      </c>
      <c r="C15" s="118" t="n">
        <f aca="false">(1-ENTRADAS!$C$33)*(1-ENTRADAS!$C$34)^(10-1)</f>
        <v>0.941016968997345</v>
      </c>
      <c r="D15" s="119" t="n">
        <f aca="false">ECONOMIA!C$26*C15/$C$6*(1+ENTRADAS!$C$27)^(10-1)</f>
        <v>10593.1033049843</v>
      </c>
      <c r="E15" s="119" t="n">
        <f aca="false">E14+D15</f>
        <v>81045.8111528304</v>
      </c>
      <c r="F15" s="119" t="n">
        <f aca="false">E15-COMPARATIVO!C$34</f>
        <v>51247.1111528305</v>
      </c>
      <c r="G15" s="119" t="n">
        <f aca="false">ECONOMIA!D$26*C15/$C$6*(1+ENTRADAS!$C$27)^(10-1)</f>
        <v>10593.1033049843</v>
      </c>
      <c r="H15" s="119" t="n">
        <f aca="false">H14+G15</f>
        <v>81045.8111528304</v>
      </c>
      <c r="I15" s="119" t="n">
        <f aca="false">H15-COMPARATIVO!D$34</f>
        <v>52167.9111528304</v>
      </c>
      <c r="J15" s="119" t="n">
        <f aca="false">ECONOMIA!E$26*C15/$C$6*(1+ENTRADAS!$C$27)^(10-1)</f>
        <v>10579.2592368968</v>
      </c>
      <c r="K15" s="119" t="n">
        <f aca="false">K14+J15</f>
        <v>80939.8928307388</v>
      </c>
      <c r="L15" s="119" t="n">
        <f aca="false">K15-COMPARATIVO!E$34</f>
        <v>62419.5528307388</v>
      </c>
      <c r="M15" s="119" t="n">
        <f aca="false">ECONOMIA!F$26*C15/$C$6*(1+ENTRADAS!$C$27)^(10-1)</f>
        <v>10579.2592368968</v>
      </c>
      <c r="N15" s="119" t="n">
        <f aca="false">N14+M15</f>
        <v>80939.8928307388</v>
      </c>
      <c r="O15" s="119" t="n">
        <f aca="false">N15-COMPARATIVO!F$34</f>
        <v>61419.5528307388</v>
      </c>
      <c r="P15" s="119" t="n">
        <f aca="false">ECONOMIA!G$26*C15/$C$6*(1+ENTRADAS!$C$27)^(10-1)</f>
        <v>9607.71096764888</v>
      </c>
      <c r="Q15" s="119" t="n">
        <f aca="false">Q14+P15</f>
        <v>73506.7624922213</v>
      </c>
      <c r="R15" s="119" t="n">
        <f aca="false">Q15-COMPARATIVO!G$34</f>
        <v>52157.8524922213</v>
      </c>
      <c r="S15" s="119" t="n">
        <f aca="false">ECONOMIA!H$26*C15/$C$6*(1+ENTRADAS!$C$27)^(10-1)</f>
        <v>8305.01700464281</v>
      </c>
      <c r="T15" s="119" t="n">
        <f aca="false">T14+S15</f>
        <v>63540.0996667917</v>
      </c>
      <c r="U15" s="119" t="n">
        <f aca="false">T15-COMPARATIVO!H$34</f>
        <v>48652.4596667917</v>
      </c>
      <c r="V15" s="119" t="n">
        <f aca="false">ECONOMIA!I$26*C15/$C$6*(1+ENTRADAS!$C$27)^(10-1)</f>
        <v>10593.1033049843</v>
      </c>
      <c r="W15" s="119" t="n">
        <f aca="false">W14+V15</f>
        <v>81045.8111528304</v>
      </c>
      <c r="X15" s="119" t="n">
        <f aca="false">W15-COMPARATIVO!I$34</f>
        <v>59965.2711528304</v>
      </c>
      <c r="Y15" s="119" t="n">
        <f aca="false">ECONOMIA!J$26*C15/$C$6*(1+ENTRADAS!$C$27)^(10-1)</f>
        <v>10536.1302401261</v>
      </c>
      <c r="Z15" s="119" t="n">
        <f aca="false">Z14+Y15</f>
        <v>80609.9211098128</v>
      </c>
      <c r="AA15" s="119" t="n">
        <f aca="false">Z15-COMPARATIVO!J$34</f>
        <v>59376.9211098128</v>
      </c>
      <c r="AB15" s="119" t="n">
        <f aca="false">ECONOMIA!K$26*C15/$C$6*(1+ENTRADAS!$C$27)^(10-1)</f>
        <v>10593.1033049843</v>
      </c>
      <c r="AC15" s="119" t="n">
        <f aca="false">AC14+AB15</f>
        <v>81045.8111528304</v>
      </c>
      <c r="AD15" s="119" t="n">
        <f aca="false">AC15-COMPARATIVO!K$34</f>
        <v>61655.8111528304</v>
      </c>
      <c r="AE15" s="119" t="n">
        <f aca="false">ECONOMIA!L$26*C15/$C$6*(1+ENTRADAS!$C$27)^(10-1)</f>
        <v>10572.0710707684</v>
      </c>
      <c r="AF15" s="119" t="n">
        <f aca="false">AF14+AE15</f>
        <v>80884.8975439178</v>
      </c>
      <c r="AG15" s="119" t="n">
        <f aca="false">AF15-COMPARATIVO!L$34</f>
        <v>62184.8975439178</v>
      </c>
      <c r="AH15" s="119" t="n">
        <f aca="false">ECONOMIA!M$26*C15/$C$6*(1+ENTRADAS!$C$27)^(10-1)</f>
        <v>10593.1033049843</v>
      </c>
      <c r="AI15" s="119" t="n">
        <f aca="false">AI14+AH15</f>
        <v>81045.8111528304</v>
      </c>
      <c r="AJ15" s="119" t="n">
        <f aca="false">AI15-COMPARATIVO!M$34</f>
        <v>58165.2711528304</v>
      </c>
      <c r="AK15" s="119" t="n">
        <f aca="false">ECONOMIA!N$26*C15/$C$6*(1+ENTRADAS!$C$27)^(10-1)</f>
        <v>10593.1033049843</v>
      </c>
      <c r="AL15" s="119" t="n">
        <f aca="false">AL14+AK15</f>
        <v>81045.8111528304</v>
      </c>
      <c r="AM15" s="119" t="n">
        <f aca="false">AL15-COMPARATIVO!N$34</f>
        <v>56365.2711528304</v>
      </c>
    </row>
    <row r="16" customFormat="false" ht="15" hidden="false" customHeight="false" outlineLevel="0" collapsed="false">
      <c r="B16" s="115" t="n">
        <v>11</v>
      </c>
      <c r="C16" s="40" t="n">
        <f aca="false">(1-ENTRADAS!$C$33)*(1-ENTRADAS!$C$34)^(11-1)</f>
        <v>0.936782392636857</v>
      </c>
      <c r="D16" s="116" t="n">
        <f aca="false">ECONOMIA!C$26*C16/$C$6*(1+ENTRADAS!$C$27)^(11-1)</f>
        <v>11283.6147439198</v>
      </c>
      <c r="E16" s="116" t="n">
        <f aca="false">E15+D16</f>
        <v>92329.4258967502</v>
      </c>
      <c r="F16" s="116" t="n">
        <f aca="false">E16-COMPARATIVO!C$34</f>
        <v>62530.7258967502</v>
      </c>
      <c r="G16" s="116" t="n">
        <f aca="false">ECONOMIA!D$26*C16/$C$6*(1+ENTRADAS!$C$27)^(11-1)</f>
        <v>11283.6147439198</v>
      </c>
      <c r="H16" s="116" t="n">
        <f aca="false">H15+G16</f>
        <v>92329.4258967502</v>
      </c>
      <c r="I16" s="116" t="n">
        <f aca="false">H16-COMPARATIVO!D$34</f>
        <v>63451.5258967502</v>
      </c>
      <c r="J16" s="116" t="n">
        <f aca="false">ECONOMIA!E$26*C16/$C$6*(1+ENTRADAS!$C$27)^(11-1)</f>
        <v>11268.868250254</v>
      </c>
      <c r="K16" s="116" t="n">
        <f aca="false">K15+J16</f>
        <v>92208.7610809928</v>
      </c>
      <c r="L16" s="116" t="n">
        <f aca="false">K16-COMPARATIVO!E$34</f>
        <v>73688.4210809928</v>
      </c>
      <c r="M16" s="116" t="n">
        <f aca="false">ECONOMIA!F$26*C16/$C$6*(1+ENTRADAS!$C$27)^(11-1)</f>
        <v>11268.868250254</v>
      </c>
      <c r="N16" s="116" t="n">
        <f aca="false">N15+M16</f>
        <v>92208.7610809928</v>
      </c>
      <c r="O16" s="116" t="n">
        <f aca="false">N16-COMPARATIVO!F$34</f>
        <v>72688.4210809928</v>
      </c>
      <c r="P16" s="116" t="n">
        <f aca="false">ECONOMIA!G$26*C16/$C$6*(1+ENTRADAS!$C$27)^(11-1)</f>
        <v>10233.9896070751</v>
      </c>
      <c r="Q16" s="116" t="n">
        <f aca="false">Q15+P16</f>
        <v>83740.7520992964</v>
      </c>
      <c r="R16" s="116" t="n">
        <f aca="false">Q16-COMPARATIVO!G$34</f>
        <v>62391.8420992964</v>
      </c>
      <c r="S16" s="116" t="n">
        <f aca="false">ECONOMIA!H$26*C16/$C$6*(1+ENTRADAS!$C$27)^(11-1)</f>
        <v>8846.37953809045</v>
      </c>
      <c r="T16" s="116" t="n">
        <f aca="false">T15+S16</f>
        <v>72386.4792048822</v>
      </c>
      <c r="U16" s="116" t="n">
        <f aca="false">T16-COMPARATIVO!H$34</f>
        <v>57498.8392048822</v>
      </c>
      <c r="V16" s="116" t="n">
        <f aca="false">ECONOMIA!I$26*C16/$C$6*(1+ENTRADAS!$C$27)^(11-1)</f>
        <v>11283.6147439198</v>
      </c>
      <c r="W16" s="116" t="n">
        <f aca="false">W15+V16</f>
        <v>92329.4258967502</v>
      </c>
      <c r="X16" s="116" t="n">
        <f aca="false">W16-COMPARATIVO!I$34</f>
        <v>71248.8858967502</v>
      </c>
      <c r="Y16" s="116" t="n">
        <f aca="false">ECONOMIA!J$26*C16/$C$6*(1+ENTRADAS!$C$27)^(11-1)</f>
        <v>11222.9278898287</v>
      </c>
      <c r="Z16" s="116" t="n">
        <f aca="false">Z15+Y16</f>
        <v>91832.8489996415</v>
      </c>
      <c r="AA16" s="116" t="n">
        <f aca="false">Z16-COMPARATIVO!J$34</f>
        <v>70599.8489996415</v>
      </c>
      <c r="AB16" s="116" t="n">
        <f aca="false">ECONOMIA!K$26*C16/$C$6*(1+ENTRADAS!$C$27)^(11-1)</f>
        <v>11283.6147439198</v>
      </c>
      <c r="AC16" s="116" t="n">
        <f aca="false">AC15+AB16</f>
        <v>92329.4258967502</v>
      </c>
      <c r="AD16" s="116" t="n">
        <f aca="false">AC16-COMPARATIVO!K$34</f>
        <v>72939.4258967502</v>
      </c>
      <c r="AE16" s="116" t="n">
        <f aca="false">ECONOMIA!L$26*C16/$C$6*(1+ENTRADAS!$C$27)^(11-1)</f>
        <v>11261.2115235164</v>
      </c>
      <c r="AF16" s="116" t="n">
        <f aca="false">AF15+AE16</f>
        <v>92146.1090674342</v>
      </c>
      <c r="AG16" s="116" t="n">
        <f aca="false">AF16-COMPARATIVO!L$34</f>
        <v>73446.1090674342</v>
      </c>
      <c r="AH16" s="116" t="n">
        <f aca="false">ECONOMIA!M$26*C16/$C$6*(1+ENTRADAS!$C$27)^(11-1)</f>
        <v>11283.6147439198</v>
      </c>
      <c r="AI16" s="116" t="n">
        <f aca="false">AI15+AH16</f>
        <v>92329.4258967502</v>
      </c>
      <c r="AJ16" s="116" t="n">
        <f aca="false">AI16-COMPARATIVO!M$34</f>
        <v>69448.8858967502</v>
      </c>
      <c r="AK16" s="116" t="n">
        <f aca="false">ECONOMIA!N$26*C16/$C$6*(1+ENTRADAS!$C$27)^(11-1)</f>
        <v>11283.6147439198</v>
      </c>
      <c r="AL16" s="116" t="n">
        <f aca="false">AL15+AK16</f>
        <v>92329.4258967502</v>
      </c>
      <c r="AM16" s="116" t="n">
        <f aca="false">AL16-COMPARATIVO!N$34</f>
        <v>67648.8858967502</v>
      </c>
    </row>
    <row r="17" customFormat="false" ht="15" hidden="false" customHeight="false" outlineLevel="0" collapsed="false">
      <c r="B17" s="115" t="n">
        <v>12</v>
      </c>
      <c r="C17" s="40" t="n">
        <f aca="false">(1-ENTRADAS!$C$33)*(1-ENTRADAS!$C$34)^(12-1)</f>
        <v>0.932566871869991</v>
      </c>
      <c r="D17" s="116" t="n">
        <f aca="false">ECONOMIA!C$26*C17/$C$6*(1+ENTRADAS!$C$27)^(12-1)</f>
        <v>12019.1371710022</v>
      </c>
      <c r="E17" s="116" t="n">
        <f aca="false">E16+D17</f>
        <v>104348.563067752</v>
      </c>
      <c r="F17" s="116" t="n">
        <f aca="false">E17-COMPARATIVO!C$34</f>
        <v>74549.8630677524</v>
      </c>
      <c r="G17" s="116" t="n">
        <f aca="false">ECONOMIA!D$26*C17/$C$6*(1+ENTRADAS!$C$27)^(12-1)</f>
        <v>12019.1371710022</v>
      </c>
      <c r="H17" s="116" t="n">
        <f aca="false">H16+G17</f>
        <v>104348.563067752</v>
      </c>
      <c r="I17" s="116" t="n">
        <f aca="false">H17-COMPARATIVO!D$34</f>
        <v>75470.6630677524</v>
      </c>
      <c r="J17" s="116" t="n">
        <f aca="false">ECONOMIA!E$26*C17/$C$6*(1+ENTRADAS!$C$27)^(12-1)</f>
        <v>12003.4294271468</v>
      </c>
      <c r="K17" s="116" t="n">
        <f aca="false">K16+J17</f>
        <v>104212.19050814</v>
      </c>
      <c r="L17" s="116" t="n">
        <f aca="false">K17-COMPARATIVO!E$34</f>
        <v>85691.8505081396</v>
      </c>
      <c r="M17" s="116" t="n">
        <f aca="false">ECONOMIA!F$26*C17/$C$6*(1+ENTRADAS!$C$27)^(12-1)</f>
        <v>12003.4294271468</v>
      </c>
      <c r="N17" s="116" t="n">
        <f aca="false">N16+M17</f>
        <v>104212.19050814</v>
      </c>
      <c r="O17" s="116" t="n">
        <f aca="false">N17-COMPARATIVO!F$34</f>
        <v>84691.8505081396</v>
      </c>
      <c r="P17" s="116" t="n">
        <f aca="false">ECONOMIA!G$26*C17/$C$6*(1+ENTRADAS!$C$27)^(12-1)</f>
        <v>10901.0922196123</v>
      </c>
      <c r="Q17" s="116" t="n">
        <f aca="false">Q16+P17</f>
        <v>94641.8443189086</v>
      </c>
      <c r="R17" s="116" t="n">
        <f aca="false">Q17-COMPARATIVO!G$34</f>
        <v>73292.9343189086</v>
      </c>
      <c r="S17" s="116" t="n">
        <f aca="false">ECONOMIA!H$26*C17/$C$6*(1+ENTRADAS!$C$27)^(12-1)</f>
        <v>9423.03078828087</v>
      </c>
      <c r="T17" s="116" t="n">
        <f aca="false">T16+S17</f>
        <v>81809.509993163</v>
      </c>
      <c r="U17" s="116" t="n">
        <f aca="false">T17-COMPARATIVO!H$34</f>
        <v>66921.869993163</v>
      </c>
      <c r="V17" s="116" t="n">
        <f aca="false">ECONOMIA!I$26*C17/$C$6*(1+ENTRADAS!$C$27)^(12-1)</f>
        <v>12019.1371710022</v>
      </c>
      <c r="W17" s="116" t="n">
        <f aca="false">W16+V17</f>
        <v>104348.563067752</v>
      </c>
      <c r="X17" s="116" t="n">
        <f aca="false">W17-COMPARATIVO!I$34</f>
        <v>83268.0230677524</v>
      </c>
      <c r="Y17" s="116" t="n">
        <f aca="false">ECONOMIA!J$26*C17/$C$6*(1+ENTRADAS!$C$27)^(12-1)</f>
        <v>11954.4944443272</v>
      </c>
      <c r="Z17" s="116" t="n">
        <f aca="false">Z16+Y17</f>
        <v>103787.343443969</v>
      </c>
      <c r="AA17" s="116" t="n">
        <f aca="false">Z17-COMPARATIVO!J$34</f>
        <v>82554.3434439687</v>
      </c>
      <c r="AB17" s="116" t="n">
        <f aca="false">ECONOMIA!K$26*C17/$C$6*(1+ENTRADAS!$C$27)^(12-1)</f>
        <v>12019.1371710022</v>
      </c>
      <c r="AC17" s="116" t="n">
        <f aca="false">AC16+AB17</f>
        <v>104348.563067752</v>
      </c>
      <c r="AD17" s="116" t="n">
        <f aca="false">AC17-COMPARATIVO!K$34</f>
        <v>84958.5630677524</v>
      </c>
      <c r="AE17" s="116" t="n">
        <f aca="false">ECONOMIA!L$26*C17/$C$6*(1+ENTRADAS!$C$27)^(12-1)</f>
        <v>11995.2735966768</v>
      </c>
      <c r="AF17" s="116" t="n">
        <f aca="false">AF16+AE17</f>
        <v>104141.382664111</v>
      </c>
      <c r="AG17" s="116" t="n">
        <f aca="false">AF17-COMPARATIVO!L$34</f>
        <v>85441.3826641111</v>
      </c>
      <c r="AH17" s="116" t="n">
        <f aca="false">ECONOMIA!M$26*C17/$C$6*(1+ENTRADAS!$C$27)^(12-1)</f>
        <v>12019.1371710022</v>
      </c>
      <c r="AI17" s="116" t="n">
        <f aca="false">AI16+AH17</f>
        <v>104348.563067752</v>
      </c>
      <c r="AJ17" s="116" t="n">
        <f aca="false">AI17-COMPARATIVO!M$34</f>
        <v>81468.0230677524</v>
      </c>
      <c r="AK17" s="116" t="n">
        <f aca="false">ECONOMIA!N$26*C17/$C$6*(1+ENTRADAS!$C$27)^(12-1)</f>
        <v>12019.1371710022</v>
      </c>
      <c r="AL17" s="116" t="n">
        <f aca="false">AL16+AK17</f>
        <v>104348.563067752</v>
      </c>
      <c r="AM17" s="116" t="n">
        <f aca="false">AL17-COMPARATIVO!N$34</f>
        <v>79668.0230677524</v>
      </c>
    </row>
    <row r="18" customFormat="false" ht="15" hidden="false" customHeight="false" outlineLevel="0" collapsed="false">
      <c r="B18" s="115" t="n">
        <v>13</v>
      </c>
      <c r="C18" s="40" t="n">
        <f aca="false">(1-ENTRADAS!$C$33)*(1-ENTRADAS!$C$34)^(13-1)</f>
        <v>0.928370320946576</v>
      </c>
      <c r="D18" s="116" t="n">
        <f aca="false">ECONOMIA!C$26*C18/$C$6*(1+ENTRADAS!$C$27)^(13-1)</f>
        <v>12802.6046274939</v>
      </c>
      <c r="E18" s="116" t="n">
        <f aca="false">E17+D18</f>
        <v>117151.167695246</v>
      </c>
      <c r="F18" s="116" t="n">
        <f aca="false">E18-COMPARATIVO!C$34</f>
        <v>87352.4676952463</v>
      </c>
      <c r="G18" s="116" t="n">
        <f aca="false">ECONOMIA!D$26*C18/$C$6*(1+ENTRADAS!$C$27)^(13-1)</f>
        <v>12802.6046274939</v>
      </c>
      <c r="H18" s="116" t="n">
        <f aca="false">H17+G18</f>
        <v>117151.167695246</v>
      </c>
      <c r="I18" s="116" t="n">
        <f aca="false">H18-COMPARATIVO!D$34</f>
        <v>88273.2676952463</v>
      </c>
      <c r="J18" s="116" t="n">
        <f aca="false">ECONOMIA!E$26*C18/$C$6*(1+ENTRADAS!$C$27)^(13-1)</f>
        <v>12785.8729743553</v>
      </c>
      <c r="K18" s="116" t="n">
        <f aca="false">K17+J18</f>
        <v>116998.063482495</v>
      </c>
      <c r="L18" s="116" t="n">
        <f aca="false">K18-COMPARATIVO!E$34</f>
        <v>98477.7234824949</v>
      </c>
      <c r="M18" s="116" t="n">
        <f aca="false">ECONOMIA!F$26*C18/$C$6*(1+ENTRADAS!$C$27)^(13-1)</f>
        <v>12785.8729743553</v>
      </c>
      <c r="N18" s="116" t="n">
        <f aca="false">N17+M18</f>
        <v>116998.063482495</v>
      </c>
      <c r="O18" s="116" t="n">
        <f aca="false">N18-COMPARATIVO!F$34</f>
        <v>97477.7234824949</v>
      </c>
      <c r="P18" s="116" t="n">
        <f aca="false">ECONOMIA!G$26*C18/$C$6*(1+ENTRADAS!$C$27)^(13-1)</f>
        <v>11611.6799159477</v>
      </c>
      <c r="Q18" s="116" t="n">
        <f aca="false">Q17+P18</f>
        <v>106253.524234856</v>
      </c>
      <c r="R18" s="116" t="n">
        <f aca="false">Q18-COMPARATIVO!G$34</f>
        <v>84904.6142348563</v>
      </c>
      <c r="S18" s="116" t="n">
        <f aca="false">ECONOMIA!H$26*C18/$C$6*(1+ENTRADAS!$C$27)^(13-1)</f>
        <v>10037.271050215</v>
      </c>
      <c r="T18" s="116" t="n">
        <f aca="false">T17+S18</f>
        <v>91846.781043378</v>
      </c>
      <c r="U18" s="116" t="n">
        <f aca="false">T18-COMPARATIVO!H$34</f>
        <v>76959.141043378</v>
      </c>
      <c r="V18" s="116" t="n">
        <f aca="false">ECONOMIA!I$26*C18/$C$6*(1+ENTRADAS!$C$27)^(13-1)</f>
        <v>12802.6046274939</v>
      </c>
      <c r="W18" s="116" t="n">
        <f aca="false">W17+V18</f>
        <v>117151.167695246</v>
      </c>
      <c r="X18" s="116" t="n">
        <f aca="false">W18-COMPARATIVO!I$34</f>
        <v>96070.6276952463</v>
      </c>
      <c r="Y18" s="116" t="n">
        <f aca="false">ECONOMIA!J$26*C18/$C$6*(1+ENTRADAS!$C$27)^(13-1)</f>
        <v>12733.7481646807</v>
      </c>
      <c r="Z18" s="116" t="n">
        <f aca="false">Z17+Y18</f>
        <v>116521.091608649</v>
      </c>
      <c r="AA18" s="116" t="n">
        <f aca="false">Z18-COMPARATIVO!J$34</f>
        <v>95288.0916086493</v>
      </c>
      <c r="AB18" s="116" t="n">
        <f aca="false">ECONOMIA!K$26*C18/$C$6*(1+ENTRADAS!$C$27)^(13-1)</f>
        <v>12802.6046274939</v>
      </c>
      <c r="AC18" s="116" t="n">
        <f aca="false">AC17+AB18</f>
        <v>117151.167695246</v>
      </c>
      <c r="AD18" s="116" t="n">
        <f aca="false">AC18-COMPARATIVO!K$34</f>
        <v>97761.1676952463</v>
      </c>
      <c r="AE18" s="116" t="n">
        <f aca="false">ECONOMIA!L$26*C18/$C$6*(1+ENTRADAS!$C$27)^(13-1)</f>
        <v>12777.1855060762</v>
      </c>
      <c r="AF18" s="116" t="n">
        <f aca="false">AF17+AE18</f>
        <v>116918.568170187</v>
      </c>
      <c r="AG18" s="116" t="n">
        <f aca="false">AF18-COMPARATIVO!L$34</f>
        <v>98218.5681701873</v>
      </c>
      <c r="AH18" s="116" t="n">
        <f aca="false">ECONOMIA!M$26*C18/$C$6*(1+ENTRADAS!$C$27)^(13-1)</f>
        <v>12802.6046274939</v>
      </c>
      <c r="AI18" s="116" t="n">
        <f aca="false">AI17+AH18</f>
        <v>117151.167695246</v>
      </c>
      <c r="AJ18" s="116" t="n">
        <f aca="false">AI18-COMPARATIVO!M$34</f>
        <v>94270.6276952463</v>
      </c>
      <c r="AK18" s="116" t="n">
        <f aca="false">ECONOMIA!N$26*C18/$C$6*(1+ENTRADAS!$C$27)^(13-1)</f>
        <v>12802.6046274939</v>
      </c>
      <c r="AL18" s="116" t="n">
        <f aca="false">AL17+AK18</f>
        <v>117151.167695246</v>
      </c>
      <c r="AM18" s="116" t="n">
        <f aca="false">AL18-COMPARATIVO!N$34</f>
        <v>92470.6276952463</v>
      </c>
    </row>
    <row r="19" customFormat="false" ht="15" hidden="false" customHeight="false" outlineLevel="0" collapsed="false">
      <c r="B19" s="115" t="n">
        <v>14</v>
      </c>
      <c r="C19" s="40" t="n">
        <f aca="false">(1-ENTRADAS!$C$33)*(1-ENTRADAS!$C$34)^(14-1)</f>
        <v>0.924192654502317</v>
      </c>
      <c r="D19" s="116" t="n">
        <f aca="false">ECONOMIA!C$26*C19/$C$6*(1+ENTRADAS!$C$27)^(14-1)</f>
        <v>13637.1424101371</v>
      </c>
      <c r="E19" s="116" t="n">
        <f aca="false">E18+D19</f>
        <v>130788.310105383</v>
      </c>
      <c r="F19" s="116" t="n">
        <f aca="false">E19-COMPARATIVO!C$34</f>
        <v>100989.610105383</v>
      </c>
      <c r="G19" s="116" t="n">
        <f aca="false">ECONOMIA!D$26*C19/$C$6*(1+ENTRADAS!$C$27)^(14-1)</f>
        <v>13637.1424101371</v>
      </c>
      <c r="H19" s="116" t="n">
        <f aca="false">H18+G19</f>
        <v>130788.310105383</v>
      </c>
      <c r="I19" s="116" t="n">
        <f aca="false">H19-COMPARATIVO!D$34</f>
        <v>101910.410105383</v>
      </c>
      <c r="J19" s="116" t="n">
        <f aca="false">ECONOMIA!E$26*C19/$C$6*(1+ENTRADAS!$C$27)^(14-1)</f>
        <v>13619.3201041887</v>
      </c>
      <c r="K19" s="116" t="n">
        <f aca="false">K18+J19</f>
        <v>130617.383586684</v>
      </c>
      <c r="L19" s="116" t="n">
        <f aca="false">K19-COMPARATIVO!E$34</f>
        <v>112097.043586684</v>
      </c>
      <c r="M19" s="116" t="n">
        <f aca="false">ECONOMIA!F$26*C19/$C$6*(1+ENTRADAS!$C$27)^(14-1)</f>
        <v>13619.3201041887</v>
      </c>
      <c r="N19" s="116" t="n">
        <f aca="false">N18+M19</f>
        <v>130617.383586684</v>
      </c>
      <c r="O19" s="116" t="n">
        <f aca="false">N19-COMPARATIVO!F$34</f>
        <v>111097.043586684</v>
      </c>
      <c r="P19" s="116" t="n">
        <f aca="false">ECONOMIA!G$26*C19/$C$6*(1+ENTRADAS!$C$27)^(14-1)</f>
        <v>12368.5872712687</v>
      </c>
      <c r="Q19" s="116" t="n">
        <f aca="false">Q18+P19</f>
        <v>118622.111506125</v>
      </c>
      <c r="R19" s="116" t="n">
        <f aca="false">Q19-COMPARATIVO!G$34</f>
        <v>97273.2015061251</v>
      </c>
      <c r="S19" s="116" t="n">
        <f aca="false">ECONOMIA!H$26*C19/$C$6*(1+ENTRADAS!$C$27)^(14-1)</f>
        <v>10691.5505636232</v>
      </c>
      <c r="T19" s="116" t="n">
        <f aca="false">T18+S19</f>
        <v>102538.331607001</v>
      </c>
      <c r="U19" s="116" t="n">
        <f aca="false">T19-COMPARATIVO!H$34</f>
        <v>87650.6916070012</v>
      </c>
      <c r="V19" s="116" t="n">
        <f aca="false">ECONOMIA!I$26*C19/$C$6*(1+ENTRADAS!$C$27)^(14-1)</f>
        <v>13637.1424101371</v>
      </c>
      <c r="W19" s="116" t="n">
        <f aca="false">W18+V19</f>
        <v>130788.310105383</v>
      </c>
      <c r="X19" s="116" t="n">
        <f aca="false">W19-COMPARATIVO!I$34</f>
        <v>109707.770105383</v>
      </c>
      <c r="Y19" s="116" t="n">
        <f aca="false">ECONOMIA!J$26*C19/$C$6*(1+ENTRADAS!$C$27)^(14-1)</f>
        <v>13563.7975387954</v>
      </c>
      <c r="Z19" s="116" t="n">
        <f aca="false">Z18+Y19</f>
        <v>130084.889147445</v>
      </c>
      <c r="AA19" s="116" t="n">
        <f aca="false">Z19-COMPARATIVO!J$34</f>
        <v>108851.889147445</v>
      </c>
      <c r="AB19" s="116" t="n">
        <f aca="false">ECONOMIA!K$26*C19/$C$6*(1+ENTRADAS!$C$27)^(14-1)</f>
        <v>13637.1424101371</v>
      </c>
      <c r="AC19" s="116" t="n">
        <f aca="false">AC18+AB19</f>
        <v>130788.310105383</v>
      </c>
      <c r="AD19" s="116" t="n">
        <f aca="false">AC19-COMPARATIVO!K$34</f>
        <v>111398.310105383</v>
      </c>
      <c r="AE19" s="116" t="n">
        <f aca="false">ECONOMIA!L$26*C19/$C$6*(1+ENTRADAS!$C$27)^(14-1)</f>
        <v>13610.0663432898</v>
      </c>
      <c r="AF19" s="116" t="n">
        <f aca="false">AF18+AE19</f>
        <v>130528.634513477</v>
      </c>
      <c r="AG19" s="116" t="n">
        <f aca="false">AF19-COMPARATIVO!L$34</f>
        <v>111828.634513477</v>
      </c>
      <c r="AH19" s="116" t="n">
        <f aca="false">ECONOMIA!M$26*C19/$C$6*(1+ENTRADAS!$C$27)^(14-1)</f>
        <v>13637.1424101371</v>
      </c>
      <c r="AI19" s="116" t="n">
        <f aca="false">AI18+AH19</f>
        <v>130788.310105383</v>
      </c>
      <c r="AJ19" s="116" t="n">
        <f aca="false">AI19-COMPARATIVO!M$34</f>
        <v>107907.770105383</v>
      </c>
      <c r="AK19" s="116" t="n">
        <f aca="false">ECONOMIA!N$26*C19/$C$6*(1+ENTRADAS!$C$27)^(14-1)</f>
        <v>13637.1424101371</v>
      </c>
      <c r="AL19" s="116" t="n">
        <f aca="false">AL18+AK19</f>
        <v>130788.310105383</v>
      </c>
      <c r="AM19" s="116" t="n">
        <f aca="false">AL19-COMPARATIVO!N$34</f>
        <v>106107.770105383</v>
      </c>
    </row>
    <row r="20" customFormat="false" ht="15" hidden="false" customHeight="false" outlineLevel="0" collapsed="false">
      <c r="B20" s="115" t="n">
        <v>15</v>
      </c>
      <c r="C20" s="40" t="n">
        <f aca="false">(1-ENTRADAS!$C$33)*(1-ENTRADAS!$C$34)^(15-1)</f>
        <v>0.920033787557056</v>
      </c>
      <c r="D20" s="116" t="n">
        <f aca="false">ECONOMIA!C$26*C20/$C$6*(1+ENTRADAS!$C$27)^(15-1)</f>
        <v>14526.0795381419</v>
      </c>
      <c r="E20" s="116" t="n">
        <f aca="false">E19+D20</f>
        <v>145314.389643525</v>
      </c>
      <c r="F20" s="116" t="n">
        <f aca="false">E20-COMPARATIVO!C$34</f>
        <v>115515.689643525</v>
      </c>
      <c r="G20" s="116" t="n">
        <f aca="false">ECONOMIA!D$26*C20/$C$6*(1+ENTRADAS!$C$27)^(15-1)</f>
        <v>14526.0795381419</v>
      </c>
      <c r="H20" s="116" t="n">
        <f aca="false">H19+G20</f>
        <v>145314.389643525</v>
      </c>
      <c r="I20" s="116" t="n">
        <f aca="false">H20-COMPARATIVO!D$34</f>
        <v>116436.489643525</v>
      </c>
      <c r="J20" s="116" t="n">
        <f aca="false">ECONOMIA!E$26*C20/$C$6*(1+ENTRADAS!$C$27)^(15-1)</f>
        <v>14507.0954851802</v>
      </c>
      <c r="K20" s="116" t="n">
        <f aca="false">K19+J20</f>
        <v>145124.479071864</v>
      </c>
      <c r="L20" s="116" t="n">
        <f aca="false">K20-COMPARATIVO!E$34</f>
        <v>126604.139071864</v>
      </c>
      <c r="M20" s="116" t="n">
        <f aca="false">ECONOMIA!F$26*C20/$C$6*(1+ENTRADAS!$C$27)^(15-1)</f>
        <v>14507.0954851802</v>
      </c>
      <c r="N20" s="116" t="n">
        <f aca="false">N19+M20</f>
        <v>145124.479071864</v>
      </c>
      <c r="O20" s="116" t="n">
        <f aca="false">N20-COMPARATIVO!F$34</f>
        <v>125604.139071864</v>
      </c>
      <c r="P20" s="116" t="n">
        <f aca="false">ECONOMIA!G$26*C20/$C$6*(1+ENTRADAS!$C$27)^(15-1)</f>
        <v>13174.8336325464</v>
      </c>
      <c r="Q20" s="116" t="n">
        <f aca="false">Q19+P20</f>
        <v>131796.945138671</v>
      </c>
      <c r="R20" s="116" t="n">
        <f aca="false">Q20-COMPARATIVO!G$34</f>
        <v>110448.035138671</v>
      </c>
      <c r="S20" s="116" t="n">
        <f aca="false">ECONOMIA!H$26*C20/$C$6*(1+ENTRADAS!$C$27)^(15-1)</f>
        <v>11388.479287113</v>
      </c>
      <c r="T20" s="116" t="n">
        <f aca="false">T19+S20</f>
        <v>113926.810894114</v>
      </c>
      <c r="U20" s="116" t="n">
        <f aca="false">T20-COMPARATIVO!H$34</f>
        <v>99039.1708941142</v>
      </c>
      <c r="V20" s="116" t="n">
        <f aca="false">ECONOMIA!I$26*C20/$C$6*(1+ENTRADAS!$C$27)^(15-1)</f>
        <v>14526.0795381419</v>
      </c>
      <c r="W20" s="116" t="n">
        <f aca="false">W19+V20</f>
        <v>145314.389643525</v>
      </c>
      <c r="X20" s="116" t="n">
        <f aca="false">W20-COMPARATIVO!I$34</f>
        <v>124233.849643525</v>
      </c>
      <c r="Y20" s="116" t="n">
        <f aca="false">ECONOMIA!J$26*C20/$C$6*(1+ENTRADAS!$C$27)^(15-1)</f>
        <v>14447.9536813618</v>
      </c>
      <c r="Z20" s="116" t="n">
        <f aca="false">Z19+Y20</f>
        <v>144532.842828806</v>
      </c>
      <c r="AA20" s="116" t="n">
        <f aca="false">Z20-COMPARATIVO!J$34</f>
        <v>123299.842828806</v>
      </c>
      <c r="AB20" s="116" t="n">
        <f aca="false">ECONOMIA!K$26*C20/$C$6*(1+ENTRADAS!$C$27)^(15-1)</f>
        <v>14526.0795381419</v>
      </c>
      <c r="AC20" s="116" t="n">
        <f aca="false">AC19+AB20</f>
        <v>145314.389643525</v>
      </c>
      <c r="AD20" s="116" t="n">
        <f aca="false">AC20-COMPARATIVO!K$34</f>
        <v>125924.389643525</v>
      </c>
      <c r="AE20" s="116" t="n">
        <f aca="false">ECONOMIA!L$26*C20/$C$6*(1+ENTRADAS!$C$27)^(15-1)</f>
        <v>14497.2385178771</v>
      </c>
      <c r="AF20" s="116" t="n">
        <f aca="false">AF19+AE20</f>
        <v>145025.873031354</v>
      </c>
      <c r="AG20" s="116" t="n">
        <f aca="false">AF20-COMPARATIVO!L$34</f>
        <v>126325.873031354</v>
      </c>
      <c r="AH20" s="116" t="n">
        <f aca="false">ECONOMIA!M$26*C20/$C$6*(1+ENTRADAS!$C$27)^(15-1)</f>
        <v>14526.0795381419</v>
      </c>
      <c r="AI20" s="116" t="n">
        <f aca="false">AI19+AH20</f>
        <v>145314.389643525</v>
      </c>
      <c r="AJ20" s="116" t="n">
        <f aca="false">AI20-COMPARATIVO!M$34</f>
        <v>122433.849643525</v>
      </c>
      <c r="AK20" s="116" t="n">
        <f aca="false">ECONOMIA!N$26*C20/$C$6*(1+ENTRADAS!$C$27)^(15-1)</f>
        <v>14526.0795381419</v>
      </c>
      <c r="AL20" s="116" t="n">
        <f aca="false">AL19+AK20</f>
        <v>145314.389643525</v>
      </c>
      <c r="AM20" s="116" t="n">
        <f aca="false">AL20-COMPARATIVO!N$34</f>
        <v>120633.849643525</v>
      </c>
    </row>
    <row r="21" customFormat="false" ht="15" hidden="false" customHeight="false" outlineLevel="0" collapsed="false">
      <c r="B21" s="115" t="n">
        <v>16</v>
      </c>
      <c r="C21" s="40" t="n">
        <f aca="false">(1-ENTRADAS!$C$33)*(1-ENTRADAS!$C$34)^(16-1)</f>
        <v>0.91589363551305</v>
      </c>
      <c r="D21" s="116" t="n">
        <f aca="false">ECONOMIA!C$26*C21/$C$6*(1+ENTRADAS!$C$27)^(16-1)</f>
        <v>15472.9620328357</v>
      </c>
      <c r="E21" s="116" t="n">
        <f aca="false">E20+D21</f>
        <v>160787.351676361</v>
      </c>
      <c r="F21" s="116" t="n">
        <f aca="false">E21-COMPARATIVO!C$34</f>
        <v>130988.651676361</v>
      </c>
      <c r="G21" s="116" t="n">
        <f aca="false">ECONOMIA!D$26*C21/$C$6*(1+ENTRADAS!$C$27)^(16-1)</f>
        <v>15472.9620328357</v>
      </c>
      <c r="H21" s="116" t="n">
        <f aca="false">H20+G21</f>
        <v>160787.351676361</v>
      </c>
      <c r="I21" s="116" t="n">
        <f aca="false">H21-COMPARATIVO!D$34</f>
        <v>131909.451676361</v>
      </c>
      <c r="J21" s="116" t="n">
        <f aca="false">ECONOMIA!E$26*C21/$C$6*(1+ENTRADAS!$C$27)^(16-1)</f>
        <v>15452.7405043817</v>
      </c>
      <c r="K21" s="116" t="n">
        <f aca="false">K20+J21</f>
        <v>160577.219576246</v>
      </c>
      <c r="L21" s="116" t="n">
        <f aca="false">K21-COMPARATIVO!E$34</f>
        <v>142056.879576246</v>
      </c>
      <c r="M21" s="116" t="n">
        <f aca="false">ECONOMIA!F$26*C21/$C$6*(1+ENTRADAS!$C$27)^(16-1)</f>
        <v>15452.7405043817</v>
      </c>
      <c r="N21" s="116" t="n">
        <f aca="false">N20+M21</f>
        <v>160577.219576246</v>
      </c>
      <c r="O21" s="116" t="n">
        <f aca="false">N21-COMPARATIVO!F$34</f>
        <v>141056.879576246</v>
      </c>
      <c r="P21" s="116" t="n">
        <f aca="false">ECONOMIA!G$26*C21/$C$6*(1+ENTRADAS!$C$27)^(16-1)</f>
        <v>14033.6351628839</v>
      </c>
      <c r="Q21" s="116" t="n">
        <f aca="false">Q20+P21</f>
        <v>145830.580301555</v>
      </c>
      <c r="R21" s="116" t="n">
        <f aca="false">Q21-COMPARATIVO!G$34</f>
        <v>124481.670301555</v>
      </c>
      <c r="S21" s="116" t="n">
        <f aca="false">ECONOMIA!H$26*C21/$C$6*(1+ENTRADAS!$C$27)^(16-1)</f>
        <v>12130.8373094435</v>
      </c>
      <c r="T21" s="116" t="n">
        <f aca="false">T20+S21</f>
        <v>126057.648203558</v>
      </c>
      <c r="U21" s="116" t="n">
        <f aca="false">T21-COMPARATIVO!H$34</f>
        <v>111170.008203558</v>
      </c>
      <c r="V21" s="116" t="n">
        <f aca="false">ECONOMIA!I$26*C21/$C$6*(1+ENTRADAS!$C$27)^(16-1)</f>
        <v>15472.9620328357</v>
      </c>
      <c r="W21" s="116" t="n">
        <f aca="false">W20+V21</f>
        <v>160787.351676361</v>
      </c>
      <c r="X21" s="116" t="n">
        <f aca="false">W21-COMPARATIVO!I$34</f>
        <v>139706.811676361</v>
      </c>
      <c r="Y21" s="116" t="n">
        <f aca="false">ECONOMIA!J$26*C21/$C$6*(1+ENTRADAS!$C$27)^(16-1)</f>
        <v>15389.7435420813</v>
      </c>
      <c r="Z21" s="116" t="n">
        <f aca="false">Z20+Y21</f>
        <v>159922.586370888</v>
      </c>
      <c r="AA21" s="116" t="n">
        <f aca="false">Z21-COMPARATIVO!J$34</f>
        <v>138689.586370888</v>
      </c>
      <c r="AB21" s="116" t="n">
        <f aca="false">ECONOMIA!K$26*C21/$C$6*(1+ENTRADAS!$C$27)^(16-1)</f>
        <v>15472.9620328357</v>
      </c>
      <c r="AC21" s="116" t="n">
        <f aca="false">AC20+AB21</f>
        <v>160787.351676361</v>
      </c>
      <c r="AD21" s="116" t="n">
        <f aca="false">AC21-COMPARATIVO!K$34</f>
        <v>141397.351676361</v>
      </c>
      <c r="AE21" s="116" t="n">
        <f aca="false">ECONOMIA!L$26*C21/$C$6*(1+ENTRADAS!$C$27)^(16-1)</f>
        <v>15442.241010665</v>
      </c>
      <c r="AF21" s="116" t="n">
        <f aca="false">AF20+AE21</f>
        <v>160468.114042019</v>
      </c>
      <c r="AG21" s="116" t="n">
        <f aca="false">AF21-COMPARATIVO!L$34</f>
        <v>141768.114042019</v>
      </c>
      <c r="AH21" s="116" t="n">
        <f aca="false">ECONOMIA!M$26*C21/$C$6*(1+ENTRADAS!$C$27)^(16-1)</f>
        <v>15472.9620328357</v>
      </c>
      <c r="AI21" s="116" t="n">
        <f aca="false">AI20+AH21</f>
        <v>160787.351676361</v>
      </c>
      <c r="AJ21" s="116" t="n">
        <f aca="false">AI21-COMPARATIVO!M$34</f>
        <v>137906.811676361</v>
      </c>
      <c r="AK21" s="116" t="n">
        <f aca="false">ECONOMIA!N$26*C21/$C$6*(1+ENTRADAS!$C$27)^(16-1)</f>
        <v>15472.9620328357</v>
      </c>
      <c r="AL21" s="116" t="n">
        <f aca="false">AL20+AK21</f>
        <v>160787.351676361</v>
      </c>
      <c r="AM21" s="116" t="n">
        <f aca="false">AL21-COMPARATIVO!N$34</f>
        <v>136106.811676361</v>
      </c>
    </row>
    <row r="22" customFormat="false" ht="15" hidden="false" customHeight="false" outlineLevel="0" collapsed="false">
      <c r="B22" s="115" t="n">
        <v>17</v>
      </c>
      <c r="C22" s="40" t="n">
        <f aca="false">(1-ENTRADAS!$C$33)*(1-ENTRADAS!$C$34)^(17-1)</f>
        <v>0.911772114153241</v>
      </c>
      <c r="D22" s="116" t="n">
        <f aca="false">ECONOMIA!C$26*C22/$C$6*(1+ENTRADAS!$C$27)^(17-1)</f>
        <v>16481.5670629461</v>
      </c>
      <c r="E22" s="116" t="n">
        <f aca="false">E21+D22</f>
        <v>177268.918739307</v>
      </c>
      <c r="F22" s="116" t="n">
        <f aca="false">E22-COMPARATIVO!C$34</f>
        <v>147470.218739307</v>
      </c>
      <c r="G22" s="116" t="n">
        <f aca="false">ECONOMIA!D$26*C22/$C$6*(1+ENTRADAS!$C$27)^(17-1)</f>
        <v>16481.5670629461</v>
      </c>
      <c r="H22" s="116" t="n">
        <f aca="false">H21+G22</f>
        <v>177268.918739307</v>
      </c>
      <c r="I22" s="116" t="n">
        <f aca="false">H22-COMPARATIVO!D$34</f>
        <v>148391.018739307</v>
      </c>
      <c r="J22" s="116" t="n">
        <f aca="false">ECONOMIA!E$26*C22/$C$6*(1+ENTRADAS!$C$27)^(17-1)</f>
        <v>16460.0273941598</v>
      </c>
      <c r="K22" s="116" t="n">
        <f aca="false">K21+J22</f>
        <v>177037.246970405</v>
      </c>
      <c r="L22" s="116" t="n">
        <f aca="false">K22-COMPARATIVO!E$34</f>
        <v>158516.906970405</v>
      </c>
      <c r="M22" s="116" t="n">
        <f aca="false">ECONOMIA!F$26*C22/$C$6*(1+ENTRADAS!$C$27)^(17-1)</f>
        <v>16460.0273941598</v>
      </c>
      <c r="N22" s="116" t="n">
        <f aca="false">N21+M22</f>
        <v>177037.246970405</v>
      </c>
      <c r="O22" s="116" t="n">
        <f aca="false">N22-COMPARATIVO!F$34</f>
        <v>157516.906970405</v>
      </c>
      <c r="P22" s="116" t="n">
        <f aca="false">ECONOMIA!G$26*C22/$C$6*(1+ENTRADAS!$C$27)^(17-1)</f>
        <v>14948.4176709765</v>
      </c>
      <c r="Q22" s="116" t="n">
        <f aca="false">Q21+P22</f>
        <v>160778.997972532</v>
      </c>
      <c r="R22" s="116" t="n">
        <f aca="false">Q22-COMPARATIVO!G$34</f>
        <v>139430.087972532</v>
      </c>
      <c r="S22" s="116" t="n">
        <f aca="false">ECONOMIA!H$26*C22/$C$6*(1+ENTRADAS!$C$27)^(17-1)</f>
        <v>12921.5859394595</v>
      </c>
      <c r="T22" s="116" t="n">
        <f aca="false">T21+S22</f>
        <v>138979.234143017</v>
      </c>
      <c r="U22" s="116" t="n">
        <f aca="false">T22-COMPARATIVO!H$34</f>
        <v>124091.594143017</v>
      </c>
      <c r="V22" s="116" t="n">
        <f aca="false">ECONOMIA!I$26*C22/$C$6*(1+ENTRADAS!$C$27)^(17-1)</f>
        <v>16481.5670629461</v>
      </c>
      <c r="W22" s="116" t="n">
        <f aca="false">W21+V22</f>
        <v>177268.918739307</v>
      </c>
      <c r="X22" s="116" t="n">
        <f aca="false">W22-COMPARATIVO!I$34</f>
        <v>156188.378739307</v>
      </c>
      <c r="Y22" s="116" t="n">
        <f aca="false">ECONOMIA!J$26*C22/$C$6*(1+ENTRADAS!$C$27)^(17-1)</f>
        <v>16392.9239748719</v>
      </c>
      <c r="Z22" s="116" t="n">
        <f aca="false">Z21+Y22</f>
        <v>176315.51034576</v>
      </c>
      <c r="AA22" s="116" t="n">
        <f aca="false">Z22-COMPARATIVO!J$34</f>
        <v>155082.51034576</v>
      </c>
      <c r="AB22" s="116" t="n">
        <f aca="false">ECONOMIA!K$26*C22/$C$6*(1+ENTRADAS!$C$27)^(17-1)</f>
        <v>16481.5670629461</v>
      </c>
      <c r="AC22" s="116" t="n">
        <f aca="false">AC21+AB22</f>
        <v>177268.918739307</v>
      </c>
      <c r="AD22" s="116" t="n">
        <f aca="false">AC22-COMPARATIVO!K$34</f>
        <v>157878.918739307</v>
      </c>
      <c r="AE22" s="116" t="n">
        <f aca="false">ECONOMIA!L$26*C22/$C$6*(1+ENTRADAS!$C$27)^(17-1)</f>
        <v>16448.8434909452</v>
      </c>
      <c r="AF22" s="116" t="n">
        <f aca="false">AF21+AE22</f>
        <v>176916.957532964</v>
      </c>
      <c r="AG22" s="116" t="n">
        <f aca="false">AF22-COMPARATIVO!L$34</f>
        <v>158216.957532964</v>
      </c>
      <c r="AH22" s="116" t="n">
        <f aca="false">ECONOMIA!M$26*C22/$C$6*(1+ENTRADAS!$C$27)^(17-1)</f>
        <v>16481.5670629461</v>
      </c>
      <c r="AI22" s="116" t="n">
        <f aca="false">AI21+AH22</f>
        <v>177268.918739307</v>
      </c>
      <c r="AJ22" s="116" t="n">
        <f aca="false">AI22-COMPARATIVO!M$34</f>
        <v>154388.378739307</v>
      </c>
      <c r="AK22" s="116" t="n">
        <f aca="false">ECONOMIA!N$26*C22/$C$6*(1+ENTRADAS!$C$27)^(17-1)</f>
        <v>16481.5670629461</v>
      </c>
      <c r="AL22" s="116" t="n">
        <f aca="false">AL21+AK22</f>
        <v>177268.918739307</v>
      </c>
      <c r="AM22" s="116" t="n">
        <f aca="false">AL22-COMPARATIVO!N$34</f>
        <v>152588.378739307</v>
      </c>
    </row>
    <row r="23" customFormat="false" ht="15" hidden="false" customHeight="false" outlineLevel="0" collapsed="false">
      <c r="B23" s="115" t="n">
        <v>18</v>
      </c>
      <c r="C23" s="40" t="n">
        <f aca="false">(1-ENTRADAS!$C$33)*(1-ENTRADAS!$C$34)^(18-1)</f>
        <v>0.907669139639551</v>
      </c>
      <c r="D23" s="116" t="n">
        <f aca="false">ECONOMIA!C$26*C23/$C$6*(1+ENTRADAS!$C$27)^(18-1)</f>
        <v>17555.9180119442</v>
      </c>
      <c r="E23" s="116" t="n">
        <f aca="false">E22+D23</f>
        <v>194824.836751251</v>
      </c>
      <c r="F23" s="116" t="n">
        <f aca="false">E23-COMPARATIVO!C$34</f>
        <v>165026.136751251</v>
      </c>
      <c r="G23" s="116" t="n">
        <f aca="false">ECONOMIA!D$26*C23/$C$6*(1+ENTRADAS!$C$27)^(18-1)</f>
        <v>17555.9180119442</v>
      </c>
      <c r="H23" s="116" t="n">
        <f aca="false">H22+G23</f>
        <v>194824.836751251</v>
      </c>
      <c r="I23" s="116" t="n">
        <f aca="false">H23-COMPARATIVO!D$34</f>
        <v>165946.936751251</v>
      </c>
      <c r="J23" s="116" t="n">
        <f aca="false">ECONOMIA!E$26*C23/$C$6*(1+ENTRADAS!$C$27)^(18-1)</f>
        <v>17532.9742798481</v>
      </c>
      <c r="K23" s="116" t="n">
        <f aca="false">K22+J23</f>
        <v>194570.221250253</v>
      </c>
      <c r="L23" s="116" t="n">
        <f aca="false">K23-COMPARATIVO!E$34</f>
        <v>176049.881250253</v>
      </c>
      <c r="M23" s="116" t="n">
        <f aca="false">ECONOMIA!F$26*C23/$C$6*(1+ENTRADAS!$C$27)^(18-1)</f>
        <v>17532.9742798481</v>
      </c>
      <c r="N23" s="116" t="n">
        <f aca="false">N22+M23</f>
        <v>194570.221250253</v>
      </c>
      <c r="O23" s="116" t="n">
        <f aca="false">N23-COMPARATIVO!F$34</f>
        <v>175049.881250253</v>
      </c>
      <c r="P23" s="116" t="n">
        <f aca="false">ECONOMIA!G$26*C23/$C$6*(1+ENTRADAS!$C$27)^(18-1)</f>
        <v>15922.8302768591</v>
      </c>
      <c r="Q23" s="116" t="n">
        <f aca="false">Q22+P23</f>
        <v>176701.828249391</v>
      </c>
      <c r="R23" s="116" t="n">
        <f aca="false">Q23-COMPARATIVO!G$34</f>
        <v>155352.918249391</v>
      </c>
      <c r="S23" s="116" t="n">
        <f aca="false">ECONOMIA!H$26*C23/$C$6*(1+ENTRADAS!$C$27)^(18-1)</f>
        <v>13763.8795189232</v>
      </c>
      <c r="T23" s="116" t="n">
        <f aca="false">T22+S23</f>
        <v>152743.11366194</v>
      </c>
      <c r="U23" s="116" t="n">
        <f aca="false">T23-COMPARATIVO!H$34</f>
        <v>137855.47366194</v>
      </c>
      <c r="V23" s="116" t="n">
        <f aca="false">ECONOMIA!I$26*C23/$C$6*(1+ENTRADAS!$C$27)^(18-1)</f>
        <v>17555.9180119442</v>
      </c>
      <c r="W23" s="116" t="n">
        <f aca="false">W22+V23</f>
        <v>194824.836751251</v>
      </c>
      <c r="X23" s="116" t="n">
        <f aca="false">W23-COMPARATIVO!I$34</f>
        <v>173744.296751251</v>
      </c>
      <c r="Y23" s="116" t="n">
        <f aca="false">ECONOMIA!J$26*C23/$C$6*(1+ENTRADAS!$C$27)^(18-1)</f>
        <v>17461.4967241739</v>
      </c>
      <c r="Z23" s="116" t="n">
        <f aca="false">Z22+Y23</f>
        <v>193777.007069934</v>
      </c>
      <c r="AA23" s="116" t="n">
        <f aca="false">Z23-COMPARATIVO!J$34</f>
        <v>172544.007069934</v>
      </c>
      <c r="AB23" s="116" t="n">
        <f aca="false">ECONOMIA!K$26*C23/$C$6*(1+ENTRADAS!$C$27)^(18-1)</f>
        <v>17555.9180119442</v>
      </c>
      <c r="AC23" s="116" t="n">
        <f aca="false">AC22+AB23</f>
        <v>194824.836751251</v>
      </c>
      <c r="AD23" s="116" t="n">
        <f aca="false">AC23-COMPARATIVO!K$34</f>
        <v>175434.836751251</v>
      </c>
      <c r="AE23" s="116" t="n">
        <f aca="false">ECONOMIA!L$26*C23/$C$6*(1+ENTRADAS!$C$27)^(18-1)</f>
        <v>17521.0613539024</v>
      </c>
      <c r="AF23" s="116" t="n">
        <f aca="false">AF22+AE23</f>
        <v>194438.018886867</v>
      </c>
      <c r="AG23" s="116" t="n">
        <f aca="false">AF23-COMPARATIVO!L$34</f>
        <v>175738.018886867</v>
      </c>
      <c r="AH23" s="116" t="n">
        <f aca="false">ECONOMIA!M$26*C23/$C$6*(1+ENTRADAS!$C$27)^(18-1)</f>
        <v>17555.9180119442</v>
      </c>
      <c r="AI23" s="116" t="n">
        <f aca="false">AI22+AH23</f>
        <v>194824.836751251</v>
      </c>
      <c r="AJ23" s="116" t="n">
        <f aca="false">AI23-COMPARATIVO!M$34</f>
        <v>171944.296751251</v>
      </c>
      <c r="AK23" s="116" t="n">
        <f aca="false">ECONOMIA!N$26*C23/$C$6*(1+ENTRADAS!$C$27)^(18-1)</f>
        <v>17555.9180119442</v>
      </c>
      <c r="AL23" s="116" t="n">
        <f aca="false">AL22+AK23</f>
        <v>194824.836751251</v>
      </c>
      <c r="AM23" s="116" t="n">
        <f aca="false">AL23-COMPARATIVO!N$34</f>
        <v>170144.296751251</v>
      </c>
    </row>
    <row r="24" customFormat="false" ht="15" hidden="false" customHeight="false" outlineLevel="0" collapsed="false">
      <c r="B24" s="115" t="n">
        <v>19</v>
      </c>
      <c r="C24" s="40" t="n">
        <f aca="false">(1-ENTRADAS!$C$33)*(1-ENTRADAS!$C$34)^(19-1)</f>
        <v>0.903584628511173</v>
      </c>
      <c r="D24" s="116" t="n">
        <f aca="false">ECONOMIA!C$26*C24/$C$6*(1+ENTRADAS!$C$27)^(19-1)</f>
        <v>18700.3005275528</v>
      </c>
      <c r="E24" s="116" t="n">
        <f aca="false">E23+D24</f>
        <v>213525.137278804</v>
      </c>
      <c r="F24" s="116" t="n">
        <f aca="false">E24-COMPARATIVO!C$34</f>
        <v>183726.437278804</v>
      </c>
      <c r="G24" s="116" t="n">
        <f aca="false">ECONOMIA!D$26*C24/$C$6*(1+ENTRADAS!$C$27)^(19-1)</f>
        <v>18700.3005275528</v>
      </c>
      <c r="H24" s="116" t="n">
        <f aca="false">H23+G24</f>
        <v>213525.137278804</v>
      </c>
      <c r="I24" s="116" t="n">
        <f aca="false">H24-COMPARATIVO!D$34</f>
        <v>184647.237278804</v>
      </c>
      <c r="J24" s="116" t="n">
        <f aca="false">ECONOMIA!E$26*C24/$C$6*(1+ENTRADAS!$C$27)^(19-1)</f>
        <v>18675.86120828</v>
      </c>
      <c r="K24" s="116" t="n">
        <f aca="false">K23+J24</f>
        <v>213246.082458533</v>
      </c>
      <c r="L24" s="116" t="n">
        <f aca="false">K24-COMPARATIVO!E$34</f>
        <v>194725.742458533</v>
      </c>
      <c r="M24" s="116" t="n">
        <f aca="false">ECONOMIA!F$26*C24/$C$6*(1+ENTRADAS!$C$27)^(19-1)</f>
        <v>18675.86120828</v>
      </c>
      <c r="N24" s="116" t="n">
        <f aca="false">N23+M24</f>
        <v>213246.082458533</v>
      </c>
      <c r="O24" s="116" t="n">
        <f aca="false">N24-COMPARATIVO!F$34</f>
        <v>193725.742458533</v>
      </c>
      <c r="P24" s="116" t="n">
        <f aca="false">ECONOMIA!G$26*C24/$C$6*(1+ENTRADAS!$C$27)^(19-1)</f>
        <v>16960.7599684562</v>
      </c>
      <c r="Q24" s="116" t="n">
        <f aca="false">Q23+P24</f>
        <v>193662.588217847</v>
      </c>
      <c r="R24" s="116" t="n">
        <f aca="false">Q24-COMPARATIVO!G$34</f>
        <v>172313.678217847</v>
      </c>
      <c r="S24" s="116" t="n">
        <f aca="false">ECONOMIA!H$26*C24/$C$6*(1+ENTRADAS!$C$27)^(19-1)</f>
        <v>14661.0780053642</v>
      </c>
      <c r="T24" s="116" t="n">
        <f aca="false">T23+S24</f>
        <v>167404.191667305</v>
      </c>
      <c r="U24" s="116" t="n">
        <f aca="false">T24-COMPARATIVO!H$34</f>
        <v>152516.551667305</v>
      </c>
      <c r="V24" s="116" t="n">
        <f aca="false">ECONOMIA!I$26*C24/$C$6*(1+ENTRADAS!$C$27)^(19-1)</f>
        <v>18700.3005275528</v>
      </c>
      <c r="W24" s="116" t="n">
        <f aca="false">W23+V24</f>
        <v>213525.137278804</v>
      </c>
      <c r="X24" s="116" t="n">
        <f aca="false">W24-COMPARATIVO!I$34</f>
        <v>192444.597278804</v>
      </c>
      <c r="Y24" s="116" t="n">
        <f aca="false">ECONOMIA!J$26*C24/$C$6*(1+ENTRADAS!$C$27)^(19-1)</f>
        <v>18599.7243881392</v>
      </c>
      <c r="Z24" s="116" t="n">
        <f aca="false">Z23+Y24</f>
        <v>212376.731458073</v>
      </c>
      <c r="AA24" s="116" t="n">
        <f aca="false">Z24-COMPARATIVO!J$34</f>
        <v>191143.731458073</v>
      </c>
      <c r="AB24" s="116" t="n">
        <f aca="false">ECONOMIA!K$26*C24/$C$6*(1+ENTRADAS!$C$27)^(19-1)</f>
        <v>18700.3005275528</v>
      </c>
      <c r="AC24" s="116" t="n">
        <f aca="false">AC23+AB24</f>
        <v>213525.137278804</v>
      </c>
      <c r="AD24" s="116" t="n">
        <f aca="false">AC24-COMPARATIVO!K$34</f>
        <v>194135.137278804</v>
      </c>
      <c r="AE24" s="116" t="n">
        <f aca="false">ECONOMIA!L$26*C24/$C$6*(1+ENTRADAS!$C$27)^(19-1)</f>
        <v>18663.1717382566</v>
      </c>
      <c r="AF24" s="116" t="n">
        <f aca="false">AF23+AE24</f>
        <v>213101.190625123</v>
      </c>
      <c r="AG24" s="116" t="n">
        <f aca="false">AF24-COMPARATIVO!L$34</f>
        <v>194401.190625123</v>
      </c>
      <c r="AH24" s="116" t="n">
        <f aca="false">ECONOMIA!M$26*C24/$C$6*(1+ENTRADAS!$C$27)^(19-1)</f>
        <v>18700.3005275528</v>
      </c>
      <c r="AI24" s="116" t="n">
        <f aca="false">AI23+AH24</f>
        <v>213525.137278804</v>
      </c>
      <c r="AJ24" s="116" t="n">
        <f aca="false">AI24-COMPARATIVO!M$34</f>
        <v>190644.597278804</v>
      </c>
      <c r="AK24" s="116" t="n">
        <f aca="false">ECONOMIA!N$26*C24/$C$6*(1+ENTRADAS!$C$27)^(19-1)</f>
        <v>18700.3005275528</v>
      </c>
      <c r="AL24" s="116" t="n">
        <f aca="false">AL23+AK24</f>
        <v>213525.137278804</v>
      </c>
      <c r="AM24" s="116" t="n">
        <f aca="false">AL24-COMPARATIVO!N$34</f>
        <v>188844.597278804</v>
      </c>
    </row>
    <row r="25" customFormat="false" ht="15" hidden="false" customHeight="false" outlineLevel="0" collapsed="false">
      <c r="B25" s="117" t="n">
        <v>20</v>
      </c>
      <c r="C25" s="118" t="n">
        <f aca="false">(1-ENTRADAS!$C$33)*(1-ENTRADAS!$C$34)^(20-1)</f>
        <v>0.899518497682873</v>
      </c>
      <c r="D25" s="119" t="n">
        <f aca="false">ECONOMIA!C$26*C25/$C$6*(1+ENTRADAS!$C$27)^(20-1)</f>
        <v>19919.2796174414</v>
      </c>
      <c r="E25" s="119" t="n">
        <f aca="false">E24+D25</f>
        <v>233444.416896246</v>
      </c>
      <c r="F25" s="119" t="n">
        <f aca="false">E25-COMPARATIVO!C$34</f>
        <v>203645.716896246</v>
      </c>
      <c r="G25" s="119" t="n">
        <f aca="false">ECONOMIA!D$26*C25/$C$6*(1+ENTRADAS!$C$27)^(20-1)</f>
        <v>19919.2796174414</v>
      </c>
      <c r="H25" s="119" t="n">
        <f aca="false">H24+G25</f>
        <v>233444.416896246</v>
      </c>
      <c r="I25" s="119" t="n">
        <f aca="false">H25-COMPARATIVO!D$34</f>
        <v>204566.516896246</v>
      </c>
      <c r="J25" s="119" t="n">
        <f aca="false">ECONOMIA!E$26*C25/$C$6*(1+ENTRADAS!$C$27)^(20-1)</f>
        <v>19893.2472211418</v>
      </c>
      <c r="K25" s="119" t="n">
        <f aca="false">K24+J25</f>
        <v>233139.329679675</v>
      </c>
      <c r="L25" s="119" t="n">
        <f aca="false">K25-COMPARATIVO!E$34</f>
        <v>214618.989679675</v>
      </c>
      <c r="M25" s="119" t="n">
        <f aca="false">ECONOMIA!F$26*C25/$C$6*(1+ENTRADAS!$C$27)^(20-1)</f>
        <v>19893.2472211418</v>
      </c>
      <c r="N25" s="119" t="n">
        <f aca="false">N24+M25</f>
        <v>233139.329679675</v>
      </c>
      <c r="O25" s="119" t="n">
        <f aca="false">N25-COMPARATIVO!F$34</f>
        <v>213618.989679675</v>
      </c>
      <c r="P25" s="119" t="n">
        <f aca="false">ECONOMIA!G$26*C25/$C$6*(1+ENTRADAS!$C$27)^(20-1)</f>
        <v>18066.347107</v>
      </c>
      <c r="Q25" s="119" t="n">
        <f aca="false">Q24+P25</f>
        <v>211728.935324847</v>
      </c>
      <c r="R25" s="119" t="n">
        <f aca="false">Q25-COMPARATIVO!G$34</f>
        <v>190380.025324847</v>
      </c>
      <c r="S25" s="119" t="n">
        <f aca="false">ECONOMIA!H$26*C25/$C$6*(1+ENTRADAS!$C$27)^(20-1)</f>
        <v>15616.7603751439</v>
      </c>
      <c r="T25" s="119" t="n">
        <f aca="false">T24+S25</f>
        <v>183020.952042449</v>
      </c>
      <c r="U25" s="119" t="n">
        <f aca="false">T25-COMPARATIVO!H$34</f>
        <v>168133.312042449</v>
      </c>
      <c r="V25" s="119" t="n">
        <f aca="false">ECONOMIA!I$26*C25/$C$6*(1+ENTRADAS!$C$27)^(20-1)</f>
        <v>19919.2796174414</v>
      </c>
      <c r="W25" s="119" t="n">
        <f aca="false">W24+V25</f>
        <v>233444.416896246</v>
      </c>
      <c r="X25" s="119" t="n">
        <f aca="false">W25-COMPARATIVO!I$34</f>
        <v>212363.876896246</v>
      </c>
      <c r="Y25" s="119" t="n">
        <f aca="false">ECONOMIA!J$26*C25/$C$6*(1+ENTRADAS!$C$27)^(20-1)</f>
        <v>19812.1474223801</v>
      </c>
      <c r="Z25" s="119" t="n">
        <f aca="false">Z24+Y25</f>
        <v>232188.878880453</v>
      </c>
      <c r="AA25" s="119" t="n">
        <f aca="false">Z25-COMPARATIVO!J$34</f>
        <v>210955.878880453</v>
      </c>
      <c r="AB25" s="119" t="n">
        <f aca="false">ECONOMIA!K$26*C25/$C$6*(1+ENTRADAS!$C$27)^(20-1)</f>
        <v>19919.2796174414</v>
      </c>
      <c r="AC25" s="119" t="n">
        <f aca="false">AC24+AB25</f>
        <v>233444.416896246</v>
      </c>
      <c r="AD25" s="119" t="n">
        <f aca="false">AC25-COMPARATIVO!K$34</f>
        <v>214054.416896246</v>
      </c>
      <c r="AE25" s="119" t="n">
        <f aca="false">ECONOMIA!L$26*C25/$C$6*(1+ENTRADAS!$C$27)^(20-1)</f>
        <v>19879.7305880148</v>
      </c>
      <c r="AF25" s="119" t="n">
        <f aca="false">AF24+AE25</f>
        <v>232980.921213138</v>
      </c>
      <c r="AG25" s="119" t="n">
        <f aca="false">AF25-COMPARATIVO!L$34</f>
        <v>214280.921213138</v>
      </c>
      <c r="AH25" s="119" t="n">
        <f aca="false">ECONOMIA!M$26*C25/$C$6*(1+ENTRADAS!$C$27)^(20-1)</f>
        <v>19919.2796174414</v>
      </c>
      <c r="AI25" s="119" t="n">
        <f aca="false">AI24+AH25</f>
        <v>233444.416896246</v>
      </c>
      <c r="AJ25" s="119" t="n">
        <f aca="false">AI25-COMPARATIVO!M$34</f>
        <v>210563.876896246</v>
      </c>
      <c r="AK25" s="119" t="n">
        <f aca="false">ECONOMIA!N$26*C25/$C$6*(1+ENTRADAS!$C$27)^(20-1)</f>
        <v>19919.2796174414</v>
      </c>
      <c r="AL25" s="119" t="n">
        <f aca="false">AL24+AK25</f>
        <v>233444.416896246</v>
      </c>
      <c r="AM25" s="119" t="n">
        <f aca="false">AL25-COMPARATIVO!N$34</f>
        <v>208763.876896246</v>
      </c>
    </row>
    <row r="27" customFormat="false" ht="15" hidden="false" customHeight="false" outlineLevel="0" collapsed="false">
      <c r="B27" s="2" t="s">
        <v>1091</v>
      </c>
    </row>
    <row r="28" customFormat="false" ht="15" hidden="false" customHeight="false" outlineLevel="0" collapsed="false">
      <c r="B28" s="2" t="s">
        <v>1092</v>
      </c>
    </row>
    <row r="29" customFormat="false" ht="15" hidden="false" customHeight="false" outlineLevel="0" collapsed="false">
      <c r="B29" s="2" t="s">
        <v>1093</v>
      </c>
    </row>
    <row r="30" customFormat="false" ht="15" hidden="false" customHeight="false" outlineLevel="0" collapsed="false">
      <c r="B30" s="5" t="s">
        <v>1094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42"/>
  </cols>
  <sheetData>
    <row r="1" customFormat="false" ht="17.35" hidden="false" customHeight="false" outlineLevel="0" collapsed="false">
      <c r="A1" s="1" t="s">
        <v>1095</v>
      </c>
    </row>
    <row r="2" customFormat="false" ht="15" hidden="false" customHeight="false" outlineLevel="0" collapsed="false">
      <c r="A2" s="2" t="s">
        <v>1096</v>
      </c>
    </row>
    <row r="4" customFormat="false" ht="15" hidden="false" customHeight="false" outlineLevel="0" collapsed="false">
      <c r="B4" s="21" t="s">
        <v>1097</v>
      </c>
      <c r="C4" s="16" t="n">
        <v>6.2</v>
      </c>
      <c r="D4" s="2" t="s">
        <v>1098</v>
      </c>
    </row>
    <row r="6" customFormat="false" ht="23.85" hidden="false" customHeight="false" outlineLevel="0" collapsed="false">
      <c r="B6" s="17" t="s">
        <v>292</v>
      </c>
      <c r="C6" s="17" t="s">
        <v>1099</v>
      </c>
      <c r="D6" s="17" t="s">
        <v>1100</v>
      </c>
      <c r="E6" s="17" t="s">
        <v>1101</v>
      </c>
      <c r="F6" s="17" t="s">
        <v>1102</v>
      </c>
      <c r="G6" s="17" t="s">
        <v>1103</v>
      </c>
      <c r="H6" s="17" t="s">
        <v>1104</v>
      </c>
      <c r="I6" s="17" t="s">
        <v>1105</v>
      </c>
    </row>
    <row r="7" customFormat="false" ht="15" hidden="false" customHeight="false" outlineLevel="0" collapsed="false">
      <c r="B7" s="18" t="s">
        <v>294</v>
      </c>
      <c r="C7" s="32" t="n">
        <f aca="false">CONTA!C38</f>
        <v>372</v>
      </c>
      <c r="D7" s="32" t="n">
        <f aca="false">BYD!$C$13</f>
        <v>225</v>
      </c>
      <c r="E7" s="39" t="n">
        <f aca="false">C7+D7</f>
        <v>597</v>
      </c>
      <c r="F7" s="39" t="n">
        <f aca="false">$C$4*GERACAO!I5</f>
        <v>780.599158</v>
      </c>
      <c r="G7" s="39" t="n">
        <f aca="false">F7-E7</f>
        <v>183.599158</v>
      </c>
      <c r="H7" s="39" t="n">
        <f aca="false">MAX(0,G7)</f>
        <v>183.599158</v>
      </c>
      <c r="I7" s="18" t="str">
        <f aca="false">IF(G7&gt;=0,"Sobra - acumula credito","Falta - usa credito ou compra da rede")</f>
        <v>Sobra - acumula credito</v>
      </c>
    </row>
    <row r="8" customFormat="false" ht="15" hidden="false" customHeight="false" outlineLevel="0" collapsed="false">
      <c r="B8" s="18" t="s">
        <v>295</v>
      </c>
      <c r="C8" s="32" t="n">
        <f aca="false">CONTA!C39</f>
        <v>348</v>
      </c>
      <c r="D8" s="32" t="n">
        <f aca="false">BYD!$C$13</f>
        <v>225</v>
      </c>
      <c r="E8" s="39" t="n">
        <f aca="false">C8+D8</f>
        <v>573</v>
      </c>
      <c r="F8" s="39" t="n">
        <f aca="false">$C$4*GERACAO!I6</f>
        <v>710.954496</v>
      </c>
      <c r="G8" s="39" t="n">
        <f aca="false">F8-E8</f>
        <v>137.954496</v>
      </c>
      <c r="H8" s="39" t="n">
        <f aca="false">MAX(0,H7+G8)</f>
        <v>321.553654</v>
      </c>
      <c r="I8" s="18" t="str">
        <f aca="false">IF(G8&gt;=0,"Sobra - acumula credito","Falta - usa credito ou compra da rede")</f>
        <v>Sobra - acumula credito</v>
      </c>
    </row>
    <row r="9" customFormat="false" ht="15" hidden="false" customHeight="false" outlineLevel="0" collapsed="false">
      <c r="B9" s="18" t="s">
        <v>296</v>
      </c>
      <c r="C9" s="32" t="n">
        <f aca="false">CONTA!C40</f>
        <v>354</v>
      </c>
      <c r="D9" s="32" t="n">
        <f aca="false">BYD!$C$13</f>
        <v>225</v>
      </c>
      <c r="E9" s="39" t="n">
        <f aca="false">C9+D9</f>
        <v>579</v>
      </c>
      <c r="F9" s="39" t="n">
        <f aca="false">$C$4*GERACAO!I7</f>
        <v>706.80589</v>
      </c>
      <c r="G9" s="39" t="n">
        <f aca="false">F9-E9</f>
        <v>127.80589</v>
      </c>
      <c r="H9" s="39" t="n">
        <f aca="false">MAX(0,H8+G9)</f>
        <v>449.359544</v>
      </c>
      <c r="I9" s="18" t="str">
        <f aca="false">IF(G9&gt;=0,"Sobra - acumula credito","Falta - usa credito ou compra da rede")</f>
        <v>Sobra - acumula credito</v>
      </c>
    </row>
    <row r="10" customFormat="false" ht="15" hidden="false" customHeight="false" outlineLevel="0" collapsed="false">
      <c r="B10" s="18" t="s">
        <v>297</v>
      </c>
      <c r="C10" s="32" t="n">
        <f aca="false">CONTA!C41</f>
        <v>394</v>
      </c>
      <c r="D10" s="32" t="n">
        <f aca="false">BYD!$C$13</f>
        <v>225</v>
      </c>
      <c r="E10" s="39" t="n">
        <f aca="false">C10+D10</f>
        <v>619</v>
      </c>
      <c r="F10" s="39" t="n">
        <f aca="false">$C$4*GERACAO!I8</f>
        <v>607.74384</v>
      </c>
      <c r="G10" s="39" t="n">
        <f aca="false">F10-E10</f>
        <v>-11.2561599999999</v>
      </c>
      <c r="H10" s="39" t="n">
        <f aca="false">MAX(0,H9+G10)</f>
        <v>438.103384</v>
      </c>
      <c r="I10" s="18" t="str">
        <f aca="false">IF(G10&gt;=0,"Sobra - acumula credito","Falta - usa credito ou compra da rede")</f>
        <v>Falta - usa credito ou compra da rede</v>
      </c>
    </row>
    <row r="11" customFormat="false" ht="15" hidden="false" customHeight="false" outlineLevel="0" collapsed="false">
      <c r="B11" s="18" t="s">
        <v>298</v>
      </c>
      <c r="C11" s="32" t="n">
        <f aca="false">CONTA!C42</f>
        <v>457</v>
      </c>
      <c r="D11" s="32" t="n">
        <f aca="false">BYD!$C$13</f>
        <v>225</v>
      </c>
      <c r="E11" s="39" t="n">
        <f aca="false">C11+D11</f>
        <v>682</v>
      </c>
      <c r="F11" s="39" t="n">
        <f aca="false">$C$4*GERACAO!I9</f>
        <v>516.856552</v>
      </c>
      <c r="G11" s="39" t="n">
        <f aca="false">F11-E11</f>
        <v>-165.143448</v>
      </c>
      <c r="H11" s="39" t="n">
        <f aca="false">MAX(0,H10+G11)</f>
        <v>272.959936000001</v>
      </c>
      <c r="I11" s="18" t="str">
        <f aca="false">IF(G11&gt;=0,"Sobra - acumula credito","Falta - usa credito ou compra da rede")</f>
        <v>Falta - usa credito ou compra da rede</v>
      </c>
    </row>
    <row r="12" customFormat="false" ht="15" hidden="false" customHeight="false" outlineLevel="0" collapsed="false">
      <c r="B12" s="18" t="s">
        <v>299</v>
      </c>
      <c r="C12" s="32" t="n">
        <f aca="false">CONTA!C43</f>
        <v>422</v>
      </c>
      <c r="D12" s="32" t="n">
        <f aca="false">BYD!$C$13</f>
        <v>225</v>
      </c>
      <c r="E12" s="39" t="n">
        <f aca="false">C12+D12</f>
        <v>647</v>
      </c>
      <c r="F12" s="39" t="n">
        <f aca="false">$C$4*GERACAO!I10</f>
        <v>468.0039</v>
      </c>
      <c r="G12" s="39" t="n">
        <f aca="false">F12-E12</f>
        <v>-178.9961</v>
      </c>
      <c r="H12" s="39" t="n">
        <f aca="false">MAX(0,H11+G12)</f>
        <v>93.9638360000005</v>
      </c>
      <c r="I12" s="18" t="str">
        <f aca="false">IF(G12&gt;=0,"Sobra - acumula credito","Falta - usa credito ou compra da rede")</f>
        <v>Falta - usa credito ou compra da rede</v>
      </c>
    </row>
    <row r="13" customFormat="false" ht="15" hidden="false" customHeight="false" outlineLevel="0" collapsed="false">
      <c r="B13" s="18" t="s">
        <v>300</v>
      </c>
      <c r="C13" s="32" t="n">
        <f aca="false">CONTA!C44</f>
        <v>540</v>
      </c>
      <c r="D13" s="32" t="n">
        <f aca="false">BYD!$C$13</f>
        <v>225</v>
      </c>
      <c r="E13" s="39" t="n">
        <f aca="false">C13+D13</f>
        <v>765</v>
      </c>
      <c r="F13" s="39" t="n">
        <f aca="false">$C$4*GERACAO!I11</f>
        <v>504.329917</v>
      </c>
      <c r="G13" s="39" t="n">
        <f aca="false">F13-E13</f>
        <v>-260.670083</v>
      </c>
      <c r="H13" s="39" t="n">
        <f aca="false">MAX(0,H12+G13)</f>
        <v>0</v>
      </c>
      <c r="I13" s="18" t="str">
        <f aca="false">IF(G13&gt;=0,"Sobra - acumula credito","Falta - usa credito ou compra da rede")</f>
        <v>Falta - usa credito ou compra da rede</v>
      </c>
    </row>
    <row r="14" customFormat="false" ht="15" hidden="false" customHeight="false" outlineLevel="0" collapsed="false">
      <c r="B14" s="18" t="s">
        <v>301</v>
      </c>
      <c r="C14" s="32" t="n">
        <f aca="false">CONTA!C45</f>
        <v>364</v>
      </c>
      <c r="D14" s="32" t="n">
        <f aca="false">BYD!$C$13</f>
        <v>225</v>
      </c>
      <c r="E14" s="39" t="n">
        <f aca="false">C14+D14</f>
        <v>589</v>
      </c>
      <c r="F14" s="39" t="n">
        <f aca="false">$C$4*GERACAO!I12</f>
        <v>642.502497</v>
      </c>
      <c r="G14" s="39" t="n">
        <f aca="false">F14-E14</f>
        <v>53.5024970000001</v>
      </c>
      <c r="H14" s="39" t="n">
        <f aca="false">MAX(0,H13+G14)</f>
        <v>53.5024970000001</v>
      </c>
      <c r="I14" s="18" t="str">
        <f aca="false">IF(G14&gt;=0,"Sobra - acumula credito","Falta - usa credito ou compra da rede")</f>
        <v>Sobra - acumula credito</v>
      </c>
    </row>
    <row r="15" customFormat="false" ht="15" hidden="false" customHeight="false" outlineLevel="0" collapsed="false">
      <c r="B15" s="18" t="s">
        <v>302</v>
      </c>
      <c r="C15" s="32" t="n">
        <f aca="false">CONTA!C46</f>
        <v>290</v>
      </c>
      <c r="D15" s="32" t="n">
        <f aca="false">BYD!$C$13</f>
        <v>225</v>
      </c>
      <c r="E15" s="39" t="n">
        <f aca="false">C15+D15</f>
        <v>515</v>
      </c>
      <c r="F15" s="39" t="n">
        <f aca="false">$C$4*GERACAO!I13</f>
        <v>621.18885</v>
      </c>
      <c r="G15" s="39" t="n">
        <f aca="false">F15-E15</f>
        <v>106.18885</v>
      </c>
      <c r="H15" s="39" t="n">
        <f aca="false">MAX(0,H14+G15)</f>
        <v>159.691347</v>
      </c>
      <c r="I15" s="18" t="str">
        <f aca="false">IF(G15&gt;=0,"Sobra - acumula credito","Falta - usa credito ou compra da rede")</f>
        <v>Sobra - acumula credito</v>
      </c>
    </row>
    <row r="16" customFormat="false" ht="15" hidden="false" customHeight="false" outlineLevel="0" collapsed="false">
      <c r="B16" s="18" t="s">
        <v>303</v>
      </c>
      <c r="C16" s="32" t="n">
        <f aca="false">CONTA!C47</f>
        <v>375</v>
      </c>
      <c r="D16" s="32" t="n">
        <f aca="false">BYD!$C$13</f>
        <v>225</v>
      </c>
      <c r="E16" s="39" t="n">
        <f aca="false">C16+D16</f>
        <v>600</v>
      </c>
      <c r="F16" s="39" t="n">
        <f aca="false">$C$4*GERACAO!I14</f>
        <v>714.245952</v>
      </c>
      <c r="G16" s="39" t="n">
        <f aca="false">F16-E16</f>
        <v>114.245952</v>
      </c>
      <c r="H16" s="39" t="n">
        <f aca="false">MAX(0,H15+G16)</f>
        <v>273.937299</v>
      </c>
      <c r="I16" s="18" t="str">
        <f aca="false">IF(G16&gt;=0,"Sobra - acumula credito","Falta - usa credito ou compra da rede")</f>
        <v>Sobra - acumula credito</v>
      </c>
    </row>
    <row r="17" customFormat="false" ht="15" hidden="false" customHeight="false" outlineLevel="0" collapsed="false">
      <c r="B17" s="18" t="s">
        <v>304</v>
      </c>
      <c r="C17" s="32" t="n">
        <f aca="false">CONTA!C48</f>
        <v>337</v>
      </c>
      <c r="D17" s="32" t="n">
        <f aca="false">BYD!$C$13</f>
        <v>225</v>
      </c>
      <c r="E17" s="39" t="n">
        <f aca="false">C17+D17</f>
        <v>562</v>
      </c>
      <c r="F17" s="39" t="n">
        <f aca="false">$C$4*GERACAO!I15</f>
        <v>762.54513</v>
      </c>
      <c r="G17" s="39" t="n">
        <f aca="false">F17-E17</f>
        <v>200.54513</v>
      </c>
      <c r="H17" s="39" t="n">
        <f aca="false">MAX(0,H16+G17)</f>
        <v>474.482429</v>
      </c>
      <c r="I17" s="18" t="str">
        <f aca="false">IF(G17&gt;=0,"Sobra - acumula credito","Falta - usa credito ou compra da rede")</f>
        <v>Sobra - acumula credito</v>
      </c>
    </row>
    <row r="18" customFormat="false" ht="15" hidden="false" customHeight="false" outlineLevel="0" collapsed="false">
      <c r="B18" s="18" t="s">
        <v>305</v>
      </c>
      <c r="C18" s="32" t="n">
        <f aca="false">CONTA!C49</f>
        <v>323</v>
      </c>
      <c r="D18" s="32" t="n">
        <f aca="false">BYD!$C$13</f>
        <v>225</v>
      </c>
      <c r="E18" s="39" t="n">
        <f aca="false">C18+D18</f>
        <v>548</v>
      </c>
      <c r="F18" s="39" t="n">
        <f aca="false">$C$4*GERACAO!I16</f>
        <v>802.691587</v>
      </c>
      <c r="G18" s="39" t="n">
        <f aca="false">F18-E18</f>
        <v>254.691587</v>
      </c>
      <c r="H18" s="39" t="n">
        <f aca="false">MAX(0,H17+G18)</f>
        <v>729.174016000001</v>
      </c>
      <c r="I18" s="18" t="str">
        <f aca="false">IF(G18&gt;=0,"Sobra - acumula credito","Falta - usa credito ou compra da rede")</f>
        <v>Sobra - acumula credito</v>
      </c>
    </row>
    <row r="19" customFormat="false" ht="15" hidden="false" customHeight="false" outlineLevel="0" collapsed="false">
      <c r="B19" s="21" t="s">
        <v>378</v>
      </c>
      <c r="C19" s="34" t="n">
        <f aca="false">SUM(C7:C18)</f>
        <v>4576</v>
      </c>
      <c r="D19" s="34" t="n">
        <f aca="false">SUM(D7:D18)</f>
        <v>2700</v>
      </c>
      <c r="E19" s="34" t="n">
        <f aca="false">SUM(E7:E18)</f>
        <v>7276</v>
      </c>
      <c r="F19" s="34" t="n">
        <f aca="false">SUM(F7:F18)</f>
        <v>7838.467769</v>
      </c>
      <c r="G19" s="34" t="n">
        <f aca="false">SUM(G7:G18)</f>
        <v>562.467769000001</v>
      </c>
    </row>
    <row r="21" customFormat="false" ht="15" hidden="false" customHeight="false" outlineLevel="0" collapsed="false">
      <c r="B21" s="3" t="s">
        <v>1106</v>
      </c>
    </row>
    <row r="22" customFormat="false" ht="15" hidden="false" customHeight="false" outlineLevel="0" collapsed="false">
      <c r="B22" s="2" t="s">
        <v>1107</v>
      </c>
    </row>
    <row r="23" customFormat="false" ht="15" hidden="false" customHeight="false" outlineLevel="0" collapsed="false">
      <c r="B23" s="2" t="s">
        <v>1108</v>
      </c>
    </row>
    <row r="24" customFormat="false" ht="15" hidden="false" customHeight="false" outlineLevel="0" collapsed="false">
      <c r="B24" s="2" t="s">
        <v>1109</v>
      </c>
    </row>
    <row r="25" customFormat="false" ht="15" hidden="false" customHeight="false" outlineLevel="0" collapsed="false">
      <c r="B25" s="2" t="s">
        <v>1110</v>
      </c>
    </row>
    <row r="26" customFormat="false" ht="15" hidden="false" customHeight="false" outlineLevel="0" collapsed="false">
      <c r="B26" s="2" t="s">
        <v>1111</v>
      </c>
    </row>
    <row r="27" customFormat="false" ht="15" hidden="false" customHeight="false" outlineLevel="0" collapsed="false">
      <c r="B27" s="2"/>
    </row>
    <row r="28" customFormat="false" ht="15" hidden="false" customHeight="false" outlineLevel="0" collapsed="false">
      <c r="B28" s="2" t="s">
        <v>1112</v>
      </c>
    </row>
    <row r="29" customFormat="false" ht="15" hidden="false" customHeight="false" outlineLevel="0" collapsed="false">
      <c r="B29" s="2" t="s">
        <v>1113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00"/>
    <col collapsed="false" customWidth="true" hidden="false" outlineLevel="0" max="4" min="4" style="0" width="14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1114</v>
      </c>
    </row>
    <row r="2" customFormat="false" ht="15" hidden="false" customHeight="false" outlineLevel="0" collapsed="false">
      <c r="A2" s="2" t="s">
        <v>1115</v>
      </c>
    </row>
    <row r="4" customFormat="false" ht="15" hidden="false" customHeight="false" outlineLevel="0" collapsed="false">
      <c r="B4" s="17" t="s">
        <v>1116</v>
      </c>
      <c r="C4" s="17" t="s">
        <v>1117</v>
      </c>
      <c r="D4" s="17" t="s">
        <v>1118</v>
      </c>
      <c r="E4" s="17" t="s">
        <v>1119</v>
      </c>
    </row>
    <row r="5" customFormat="false" ht="15" hidden="false" customHeight="false" outlineLevel="0" collapsed="false">
      <c r="B5" s="8"/>
      <c r="C5" s="7" t="s">
        <v>1120</v>
      </c>
      <c r="D5" s="8"/>
      <c r="E5" s="8"/>
    </row>
    <row r="6" customFormat="false" ht="22.35" hidden="false" customHeight="false" outlineLevel="0" collapsed="false">
      <c r="B6" s="4" t="n">
        <v>1</v>
      </c>
      <c r="C6" s="120" t="s">
        <v>1121</v>
      </c>
      <c r="D6" s="9" t="s">
        <v>1122</v>
      </c>
      <c r="E6" s="121"/>
    </row>
    <row r="7" customFormat="false" ht="22.35" hidden="false" customHeight="false" outlineLevel="0" collapsed="false">
      <c r="B7" s="4" t="n">
        <v>2</v>
      </c>
      <c r="C7" s="120" t="s">
        <v>1123</v>
      </c>
      <c r="D7" s="9" t="s">
        <v>1122</v>
      </c>
      <c r="E7" s="121"/>
    </row>
    <row r="8" customFormat="false" ht="22.35" hidden="false" customHeight="false" outlineLevel="0" collapsed="false">
      <c r="B8" s="4" t="n">
        <v>3</v>
      </c>
      <c r="C8" s="120" t="s">
        <v>1124</v>
      </c>
      <c r="D8" s="9" t="s">
        <v>1122</v>
      </c>
      <c r="E8" s="121"/>
    </row>
    <row r="9" customFormat="false" ht="22.35" hidden="false" customHeight="false" outlineLevel="0" collapsed="false">
      <c r="B9" s="4" t="n">
        <v>4</v>
      </c>
      <c r="C9" s="120" t="s">
        <v>1125</v>
      </c>
      <c r="D9" s="9" t="s">
        <v>1122</v>
      </c>
      <c r="E9" s="121"/>
    </row>
    <row r="10" customFormat="false" ht="15" hidden="false" customHeight="false" outlineLevel="0" collapsed="false">
      <c r="B10" s="8"/>
      <c r="C10" s="7" t="s">
        <v>1126</v>
      </c>
      <c r="D10" s="8"/>
      <c r="E10" s="8"/>
    </row>
    <row r="11" customFormat="false" ht="35.05" hidden="false" customHeight="false" outlineLevel="0" collapsed="false">
      <c r="B11" s="4" t="n">
        <v>5</v>
      </c>
      <c r="C11" s="122" t="s">
        <v>1127</v>
      </c>
      <c r="D11" s="9" t="s">
        <v>1122</v>
      </c>
      <c r="E11" s="121"/>
    </row>
    <row r="12" customFormat="false" ht="43.25" hidden="false" customHeight="false" outlineLevel="0" collapsed="false">
      <c r="B12" s="4" t="n">
        <v>6</v>
      </c>
      <c r="C12" s="120" t="s">
        <v>1128</v>
      </c>
      <c r="D12" s="9" t="s">
        <v>1122</v>
      </c>
      <c r="E12" s="121"/>
    </row>
    <row r="13" customFormat="false" ht="32.8" hidden="false" customHeight="false" outlineLevel="0" collapsed="false">
      <c r="B13" s="4" t="n">
        <v>7</v>
      </c>
      <c r="C13" s="120" t="s">
        <v>1129</v>
      </c>
      <c r="D13" s="9" t="s">
        <v>1122</v>
      </c>
      <c r="E13" s="121"/>
    </row>
    <row r="14" customFormat="false" ht="35.05" hidden="false" customHeight="false" outlineLevel="0" collapsed="false">
      <c r="B14" s="4" t="n">
        <v>8</v>
      </c>
      <c r="C14" s="122" t="s">
        <v>1130</v>
      </c>
      <c r="D14" s="9" t="s">
        <v>1122</v>
      </c>
      <c r="E14" s="121"/>
    </row>
    <row r="15" customFormat="false" ht="22.35" hidden="false" customHeight="false" outlineLevel="0" collapsed="false">
      <c r="B15" s="4" t="n">
        <v>9</v>
      </c>
      <c r="C15" s="120" t="s">
        <v>1131</v>
      </c>
      <c r="D15" s="9" t="s">
        <v>1122</v>
      </c>
      <c r="E15" s="121"/>
    </row>
    <row r="16" customFormat="false" ht="32.8" hidden="false" customHeight="false" outlineLevel="0" collapsed="false">
      <c r="B16" s="4" t="n">
        <v>10</v>
      </c>
      <c r="C16" s="120" t="s">
        <v>1132</v>
      </c>
      <c r="D16" s="9" t="s">
        <v>1122</v>
      </c>
      <c r="E16" s="121"/>
    </row>
    <row r="17" customFormat="false" ht="32.8" hidden="false" customHeight="false" outlineLevel="0" collapsed="false">
      <c r="B17" s="4" t="n">
        <v>11</v>
      </c>
      <c r="C17" s="120" t="s">
        <v>1133</v>
      </c>
      <c r="D17" s="9" t="s">
        <v>1122</v>
      </c>
      <c r="E17" s="121"/>
    </row>
    <row r="18" customFormat="false" ht="32.8" hidden="false" customHeight="false" outlineLevel="0" collapsed="false">
      <c r="B18" s="4" t="n">
        <v>12</v>
      </c>
      <c r="C18" s="120" t="s">
        <v>1134</v>
      </c>
      <c r="D18" s="9" t="s">
        <v>1122</v>
      </c>
      <c r="E18" s="121"/>
    </row>
    <row r="20" customFormat="false" ht="32.8" hidden="false" customHeight="false" outlineLevel="0" collapsed="false">
      <c r="B20" s="4" t="n">
        <v>13</v>
      </c>
      <c r="C20" s="120" t="s">
        <v>1135</v>
      </c>
      <c r="D20" s="9" t="s">
        <v>1122</v>
      </c>
      <c r="E20" s="121"/>
    </row>
    <row r="21" customFormat="false" ht="22.35" hidden="false" customHeight="false" outlineLevel="0" collapsed="false">
      <c r="B21" s="4" t="n">
        <v>14</v>
      </c>
      <c r="C21" s="120" t="s">
        <v>1136</v>
      </c>
      <c r="D21" s="9" t="s">
        <v>1122</v>
      </c>
      <c r="E21" s="121"/>
    </row>
    <row r="22" customFormat="false" ht="22.35" hidden="false" customHeight="false" outlineLevel="0" collapsed="false">
      <c r="B22" s="4" t="n">
        <v>15</v>
      </c>
      <c r="C22" s="120" t="s">
        <v>1137</v>
      </c>
      <c r="D22" s="9" t="s">
        <v>1122</v>
      </c>
      <c r="E22" s="121"/>
    </row>
    <row r="23" customFormat="false" ht="15" hidden="false" customHeight="false" outlineLevel="0" collapsed="false">
      <c r="B23" s="4" t="n">
        <v>16</v>
      </c>
      <c r="C23" s="120" t="s">
        <v>1138</v>
      </c>
      <c r="D23" s="9" t="s">
        <v>1122</v>
      </c>
      <c r="E23" s="121"/>
    </row>
    <row r="24" customFormat="false" ht="15" hidden="false" customHeight="false" outlineLevel="0" collapsed="false">
      <c r="B24" s="4" t="n">
        <v>17</v>
      </c>
      <c r="C24" s="120" t="s">
        <v>1139</v>
      </c>
      <c r="D24" s="9" t="s">
        <v>1122</v>
      </c>
      <c r="E24" s="121"/>
    </row>
    <row r="25" customFormat="false" ht="22.35" hidden="false" customHeight="false" outlineLevel="0" collapsed="false">
      <c r="B25" s="4" t="n">
        <v>18</v>
      </c>
      <c r="C25" s="120" t="s">
        <v>1140</v>
      </c>
      <c r="D25" s="9" t="s">
        <v>1122</v>
      </c>
      <c r="E25" s="121"/>
    </row>
    <row r="26" customFormat="false" ht="22.35" hidden="false" customHeight="false" outlineLevel="0" collapsed="false">
      <c r="B26" s="4" t="n">
        <v>19</v>
      </c>
      <c r="C26" s="120" t="s">
        <v>1141</v>
      </c>
      <c r="D26" s="9" t="s">
        <v>1122</v>
      </c>
      <c r="E26" s="121"/>
    </row>
    <row r="27" customFormat="false" ht="15" hidden="false" customHeight="false" outlineLevel="0" collapsed="false">
      <c r="B27" s="8"/>
      <c r="C27" s="7" t="s">
        <v>1142</v>
      </c>
      <c r="D27" s="8"/>
      <c r="E27" s="8"/>
    </row>
    <row r="28" customFormat="false" ht="23.85" hidden="false" customHeight="false" outlineLevel="0" collapsed="false">
      <c r="B28" s="4" t="n">
        <v>20</v>
      </c>
      <c r="C28" s="122" t="s">
        <v>1143</v>
      </c>
      <c r="D28" s="9" t="s">
        <v>1122</v>
      </c>
      <c r="E28" s="121"/>
    </row>
    <row r="29" customFormat="false" ht="46.25" hidden="false" customHeight="false" outlineLevel="0" collapsed="false">
      <c r="B29" s="4" t="n">
        <v>21</v>
      </c>
      <c r="C29" s="122" t="s">
        <v>1144</v>
      </c>
      <c r="D29" s="9" t="s">
        <v>1122</v>
      </c>
      <c r="E29" s="121"/>
    </row>
    <row r="30" customFormat="false" ht="23.85" hidden="false" customHeight="false" outlineLevel="0" collapsed="false">
      <c r="B30" s="4" t="n">
        <v>22</v>
      </c>
      <c r="C30" s="122" t="s">
        <v>1145</v>
      </c>
      <c r="D30" s="9" t="s">
        <v>1122</v>
      </c>
      <c r="E30" s="121"/>
    </row>
    <row r="31" customFormat="false" ht="32.8" hidden="false" customHeight="false" outlineLevel="0" collapsed="false">
      <c r="B31" s="4" t="n">
        <v>23</v>
      </c>
      <c r="C31" s="120" t="s">
        <v>1146</v>
      </c>
      <c r="D31" s="9" t="s">
        <v>1122</v>
      </c>
      <c r="E31" s="121"/>
    </row>
    <row r="32" customFormat="false" ht="22.35" hidden="false" customHeight="false" outlineLevel="0" collapsed="false">
      <c r="B32" s="4" t="n">
        <v>24</v>
      </c>
      <c r="C32" s="120" t="s">
        <v>1147</v>
      </c>
      <c r="D32" s="9" t="s">
        <v>1122</v>
      </c>
      <c r="E32" s="121"/>
    </row>
    <row r="33" customFormat="false" ht="23.85" hidden="false" customHeight="false" outlineLevel="0" collapsed="false">
      <c r="B33" s="4" t="n">
        <v>25</v>
      </c>
      <c r="C33" s="122" t="s">
        <v>1148</v>
      </c>
      <c r="D33" s="9" t="s">
        <v>1122</v>
      </c>
      <c r="E33" s="121"/>
    </row>
    <row r="34" customFormat="false" ht="35.05" hidden="false" customHeight="false" outlineLevel="0" collapsed="false">
      <c r="B34" s="4" t="n">
        <v>26</v>
      </c>
      <c r="C34" s="122" t="s">
        <v>1149</v>
      </c>
      <c r="D34" s="9" t="s">
        <v>1122</v>
      </c>
      <c r="E34" s="121"/>
    </row>
    <row r="35" customFormat="false" ht="35.05" hidden="false" customHeight="false" outlineLevel="0" collapsed="false">
      <c r="B35" s="4" t="n">
        <v>27</v>
      </c>
      <c r="C35" s="122" t="s">
        <v>1150</v>
      </c>
      <c r="D35" s="9" t="s">
        <v>1122</v>
      </c>
      <c r="E35" s="121"/>
    </row>
    <row r="36" customFormat="false" ht="22.35" hidden="false" customHeight="false" outlineLevel="0" collapsed="false">
      <c r="B36" s="4" t="n">
        <v>28</v>
      </c>
      <c r="C36" s="120" t="s">
        <v>1151</v>
      </c>
      <c r="D36" s="9" t="s">
        <v>1122</v>
      </c>
      <c r="E36" s="121"/>
    </row>
    <row r="37" customFormat="false" ht="32.8" hidden="false" customHeight="false" outlineLevel="0" collapsed="false">
      <c r="B37" s="4" t="n">
        <v>29</v>
      </c>
      <c r="C37" s="120" t="s">
        <v>1152</v>
      </c>
      <c r="D37" s="9" t="s">
        <v>1122</v>
      </c>
      <c r="E37" s="121"/>
    </row>
    <row r="38" customFormat="false" ht="22.35" hidden="false" customHeight="false" outlineLevel="0" collapsed="false">
      <c r="B38" s="4" t="n">
        <v>30</v>
      </c>
      <c r="C38" s="120" t="s">
        <v>1153</v>
      </c>
      <c r="D38" s="9" t="s">
        <v>1122</v>
      </c>
      <c r="E38" s="121"/>
    </row>
    <row r="39" customFormat="false" ht="32.8" hidden="false" customHeight="false" outlineLevel="0" collapsed="false">
      <c r="B39" s="4" t="n">
        <v>31</v>
      </c>
      <c r="C39" s="120" t="s">
        <v>1154</v>
      </c>
      <c r="D39" s="9" t="s">
        <v>1122</v>
      </c>
      <c r="E39" s="121"/>
    </row>
    <row r="40" customFormat="false" ht="22.35" hidden="false" customHeight="false" outlineLevel="0" collapsed="false">
      <c r="B40" s="4" t="n">
        <v>32</v>
      </c>
      <c r="C40" s="120" t="s">
        <v>1155</v>
      </c>
      <c r="D40" s="9" t="s">
        <v>1122</v>
      </c>
      <c r="E40" s="121"/>
    </row>
    <row r="41" customFormat="false" ht="22.35" hidden="false" customHeight="false" outlineLevel="0" collapsed="false">
      <c r="B41" s="4" t="n">
        <v>33</v>
      </c>
      <c r="C41" s="120" t="s">
        <v>1156</v>
      </c>
      <c r="D41" s="9" t="s">
        <v>1122</v>
      </c>
      <c r="E41" s="121"/>
    </row>
    <row r="42" customFormat="false" ht="35.05" hidden="false" customHeight="false" outlineLevel="0" collapsed="false">
      <c r="B42" s="4" t="n">
        <v>34</v>
      </c>
      <c r="C42" s="122" t="s">
        <v>1157</v>
      </c>
      <c r="D42" s="9" t="s">
        <v>1122</v>
      </c>
      <c r="E42" s="121"/>
    </row>
    <row r="44" customFormat="false" ht="15" hidden="false" customHeight="false" outlineLevel="0" collapsed="false">
      <c r="B44" s="8"/>
      <c r="C44" s="7" t="s">
        <v>1158</v>
      </c>
      <c r="D44" s="8"/>
      <c r="E44" s="8"/>
    </row>
    <row r="45" customFormat="false" ht="22.35" hidden="false" customHeight="false" outlineLevel="0" collapsed="false">
      <c r="B45" s="4" t="n">
        <v>35</v>
      </c>
      <c r="C45" s="120" t="s">
        <v>1159</v>
      </c>
      <c r="D45" s="9" t="s">
        <v>1122</v>
      </c>
      <c r="E45" s="121"/>
    </row>
    <row r="46" customFormat="false" ht="22.35" hidden="false" customHeight="false" outlineLevel="0" collapsed="false">
      <c r="B46" s="4" t="n">
        <v>36</v>
      </c>
      <c r="C46" s="120" t="s">
        <v>1160</v>
      </c>
      <c r="D46" s="9" t="s">
        <v>1122</v>
      </c>
      <c r="E46" s="121"/>
    </row>
    <row r="47" customFormat="false" ht="22.35" hidden="false" customHeight="false" outlineLevel="0" collapsed="false">
      <c r="B47" s="4" t="n">
        <v>37</v>
      </c>
      <c r="C47" s="120" t="s">
        <v>1161</v>
      </c>
      <c r="D47" s="9" t="s">
        <v>1122</v>
      </c>
      <c r="E47" s="121"/>
    </row>
    <row r="48" customFormat="false" ht="22.35" hidden="false" customHeight="false" outlineLevel="0" collapsed="false">
      <c r="B48" s="4" t="n">
        <v>38</v>
      </c>
      <c r="C48" s="120" t="s">
        <v>1162</v>
      </c>
      <c r="D48" s="9" t="s">
        <v>1122</v>
      </c>
      <c r="E48" s="121"/>
    </row>
    <row r="49" customFormat="false" ht="35.05" hidden="false" customHeight="false" outlineLevel="0" collapsed="false">
      <c r="B49" s="4" t="n">
        <v>39</v>
      </c>
      <c r="C49" s="122" t="s">
        <v>1163</v>
      </c>
      <c r="D49" s="9" t="s">
        <v>1122</v>
      </c>
      <c r="E49" s="121"/>
    </row>
    <row r="51" customFormat="false" ht="15" hidden="false" customHeight="false" outlineLevel="0" collapsed="false">
      <c r="B51" s="8"/>
      <c r="C51" s="7" t="s">
        <v>1164</v>
      </c>
      <c r="D51" s="8"/>
      <c r="E51" s="8"/>
    </row>
    <row r="52" customFormat="false" ht="35.05" hidden="false" customHeight="false" outlineLevel="0" collapsed="false">
      <c r="B52" s="4" t="n">
        <v>40</v>
      </c>
      <c r="C52" s="122" t="s">
        <v>1165</v>
      </c>
      <c r="D52" s="9" t="s">
        <v>1122</v>
      </c>
      <c r="E52" s="121"/>
    </row>
    <row r="53" customFormat="false" ht="22.35" hidden="false" customHeight="false" outlineLevel="0" collapsed="false">
      <c r="B53" s="4" t="n">
        <v>41</v>
      </c>
      <c r="C53" s="120" t="s">
        <v>1166</v>
      </c>
      <c r="D53" s="9" t="s">
        <v>1122</v>
      </c>
      <c r="E53" s="121"/>
    </row>
    <row r="54" customFormat="false" ht="22.35" hidden="false" customHeight="false" outlineLevel="0" collapsed="false">
      <c r="B54" s="4" t="n">
        <v>42</v>
      </c>
      <c r="C54" s="120" t="s">
        <v>1167</v>
      </c>
      <c r="D54" s="9" t="s">
        <v>1122</v>
      </c>
      <c r="E54" s="121"/>
    </row>
    <row r="55" customFormat="false" ht="22.35" hidden="false" customHeight="false" outlineLevel="0" collapsed="false">
      <c r="B55" s="4" t="n">
        <v>43</v>
      </c>
      <c r="C55" s="120" t="s">
        <v>1168</v>
      </c>
      <c r="D55" s="9" t="s">
        <v>1122</v>
      </c>
      <c r="E55" s="121"/>
    </row>
    <row r="57" customFormat="false" ht="15" hidden="false" customHeight="false" outlineLevel="0" collapsed="false">
      <c r="B57" s="8"/>
      <c r="C57" s="7" t="s">
        <v>1169</v>
      </c>
      <c r="D57" s="8"/>
      <c r="E57" s="8"/>
    </row>
    <row r="58" customFormat="false" ht="32.8" hidden="false" customHeight="false" outlineLevel="0" collapsed="false">
      <c r="B58" s="4" t="n">
        <v>44</v>
      </c>
      <c r="C58" s="120" t="s">
        <v>1170</v>
      </c>
      <c r="D58" s="9" t="s">
        <v>1122</v>
      </c>
      <c r="E58" s="121"/>
    </row>
    <row r="59" customFormat="false" ht="22.35" hidden="false" customHeight="false" outlineLevel="0" collapsed="false">
      <c r="B59" s="4" t="n">
        <v>45</v>
      </c>
      <c r="C59" s="120" t="s">
        <v>1171</v>
      </c>
      <c r="D59" s="9" t="s">
        <v>1122</v>
      </c>
      <c r="E59" s="121"/>
    </row>
    <row r="60" customFormat="false" ht="22.35" hidden="false" customHeight="false" outlineLevel="0" collapsed="false">
      <c r="B60" s="4" t="n">
        <v>46</v>
      </c>
      <c r="C60" s="120" t="s">
        <v>1172</v>
      </c>
      <c r="D60" s="9" t="s">
        <v>1122</v>
      </c>
      <c r="E60" s="121"/>
    </row>
    <row r="61" customFormat="false" ht="22.35" hidden="false" customHeight="false" outlineLevel="0" collapsed="false">
      <c r="B61" s="4" t="n">
        <v>47</v>
      </c>
      <c r="C61" s="120" t="s">
        <v>1173</v>
      </c>
      <c r="D61" s="9" t="s">
        <v>1122</v>
      </c>
      <c r="E61" s="121"/>
    </row>
    <row r="62" customFormat="false" ht="32.8" hidden="false" customHeight="false" outlineLevel="0" collapsed="false">
      <c r="B62" s="4" t="n">
        <v>48</v>
      </c>
      <c r="C62" s="120" t="s">
        <v>1174</v>
      </c>
      <c r="D62" s="9" t="s">
        <v>1122</v>
      </c>
      <c r="E62" s="121"/>
    </row>
    <row r="63" customFormat="false" ht="32.8" hidden="false" customHeight="false" outlineLevel="0" collapsed="false">
      <c r="B63" s="4" t="n">
        <v>49</v>
      </c>
      <c r="C63" s="120" t="s">
        <v>1175</v>
      </c>
      <c r="D63" s="9" t="s">
        <v>1122</v>
      </c>
      <c r="E63" s="121"/>
    </row>
    <row r="64" customFormat="false" ht="32.8" hidden="false" customHeight="false" outlineLevel="0" collapsed="false">
      <c r="B64" s="4" t="n">
        <v>50</v>
      </c>
      <c r="C64" s="120" t="s">
        <v>1176</v>
      </c>
      <c r="D64" s="9" t="s">
        <v>1122</v>
      </c>
      <c r="E64" s="121"/>
    </row>
    <row r="65" customFormat="false" ht="22.35" hidden="false" customHeight="false" outlineLevel="0" collapsed="false">
      <c r="B65" s="4" t="n">
        <v>51</v>
      </c>
      <c r="C65" s="120" t="s">
        <v>1177</v>
      </c>
      <c r="D65" s="9" t="s">
        <v>1122</v>
      </c>
      <c r="E65" s="121"/>
    </row>
    <row r="66" customFormat="false" ht="22.35" hidden="false" customHeight="false" outlineLevel="0" collapsed="false">
      <c r="B66" s="4" t="n">
        <v>52</v>
      </c>
      <c r="C66" s="120" t="s">
        <v>1178</v>
      </c>
      <c r="D66" s="9" t="s">
        <v>1122</v>
      </c>
      <c r="E66" s="121"/>
    </row>
    <row r="67" customFormat="false" ht="22.35" hidden="false" customHeight="false" outlineLevel="0" collapsed="false">
      <c r="B67" s="4" t="n">
        <v>53</v>
      </c>
      <c r="C67" s="120" t="s">
        <v>1179</v>
      </c>
      <c r="D67" s="9" t="s">
        <v>1122</v>
      </c>
      <c r="E67" s="121"/>
    </row>
    <row r="68" customFormat="false" ht="22.35" hidden="false" customHeight="false" outlineLevel="0" collapsed="false">
      <c r="B68" s="4" t="n">
        <v>54</v>
      </c>
      <c r="C68" s="120" t="s">
        <v>1180</v>
      </c>
      <c r="D68" s="9" t="s">
        <v>1122</v>
      </c>
      <c r="E68" s="121"/>
    </row>
    <row r="69" customFormat="false" ht="22.35" hidden="false" customHeight="false" outlineLevel="0" collapsed="false">
      <c r="B69" s="4" t="n">
        <v>55</v>
      </c>
      <c r="C69" s="120" t="s">
        <v>1181</v>
      </c>
      <c r="D69" s="9" t="s">
        <v>1122</v>
      </c>
      <c r="E69" s="121"/>
    </row>
    <row r="70" customFormat="false" ht="15" hidden="false" customHeight="false" outlineLevel="0" collapsed="false">
      <c r="B70" s="4" t="n">
        <v>56</v>
      </c>
      <c r="C70" s="120" t="s">
        <v>1182</v>
      </c>
      <c r="D70" s="9" t="s">
        <v>1122</v>
      </c>
      <c r="E70" s="121"/>
    </row>
    <row r="72" customFormat="false" ht="15" hidden="false" customHeight="false" outlineLevel="0" collapsed="false">
      <c r="B72" s="8"/>
      <c r="C72" s="7" t="s">
        <v>1183</v>
      </c>
      <c r="D72" s="8"/>
      <c r="E72" s="8"/>
    </row>
    <row r="73" customFormat="false" ht="15" hidden="false" customHeight="false" outlineLevel="0" collapsed="false">
      <c r="B73" s="4" t="n">
        <v>57</v>
      </c>
      <c r="C73" s="122" t="s">
        <v>1184</v>
      </c>
      <c r="D73" s="9" t="s">
        <v>1122</v>
      </c>
      <c r="E73" s="121"/>
    </row>
    <row r="74" customFormat="false" ht="15" hidden="false" customHeight="false" outlineLevel="0" collapsed="false">
      <c r="B74" s="4" t="n">
        <v>58</v>
      </c>
      <c r="C74" s="122" t="s">
        <v>1185</v>
      </c>
      <c r="D74" s="9" t="s">
        <v>1122</v>
      </c>
      <c r="E74" s="121"/>
    </row>
    <row r="75" customFormat="false" ht="15" hidden="false" customHeight="false" outlineLevel="0" collapsed="false">
      <c r="B75" s="4" t="n">
        <v>59</v>
      </c>
      <c r="C75" s="122" t="s">
        <v>1186</v>
      </c>
      <c r="D75" s="9" t="s">
        <v>1122</v>
      </c>
      <c r="E75" s="121"/>
    </row>
    <row r="76" customFormat="false" ht="15" hidden="false" customHeight="false" outlineLevel="0" collapsed="false">
      <c r="B76" s="4" t="n">
        <v>60</v>
      </c>
      <c r="C76" s="122" t="s">
        <v>1187</v>
      </c>
      <c r="D76" s="9" t="s">
        <v>1122</v>
      </c>
      <c r="E76" s="121"/>
    </row>
    <row r="77" customFormat="false" ht="15" hidden="false" customHeight="false" outlineLevel="0" collapsed="false">
      <c r="B77" s="4" t="n">
        <v>61</v>
      </c>
      <c r="C77" s="122" t="s">
        <v>1188</v>
      </c>
      <c r="D77" s="9" t="s">
        <v>1122</v>
      </c>
      <c r="E77" s="121"/>
    </row>
    <row r="78" customFormat="false" ht="15" hidden="false" customHeight="false" outlineLevel="0" collapsed="false">
      <c r="B78" s="4" t="n">
        <v>62</v>
      </c>
      <c r="C78" s="122" t="s">
        <v>1189</v>
      </c>
      <c r="D78" s="9" t="s">
        <v>1122</v>
      </c>
      <c r="E78" s="121"/>
    </row>
    <row r="79" customFormat="false" ht="15" hidden="false" customHeight="false" outlineLevel="0" collapsed="false">
      <c r="B79" s="4" t="n">
        <v>63</v>
      </c>
      <c r="C79" s="122" t="s">
        <v>1190</v>
      </c>
      <c r="D79" s="9" t="s">
        <v>1122</v>
      </c>
      <c r="E79" s="121"/>
    </row>
    <row r="80" customFormat="false" ht="15" hidden="false" customHeight="false" outlineLevel="0" collapsed="false">
      <c r="B80" s="4" t="n">
        <v>64</v>
      </c>
      <c r="C80" s="122" t="s">
        <v>1191</v>
      </c>
      <c r="D80" s="9" t="s">
        <v>1122</v>
      </c>
      <c r="E80" s="121"/>
    </row>
    <row r="81" customFormat="false" ht="15" hidden="false" customHeight="false" outlineLevel="0" collapsed="false">
      <c r="B81" s="4" t="n">
        <v>65</v>
      </c>
      <c r="C81" s="122" t="s">
        <v>1192</v>
      </c>
      <c r="D81" s="9" t="s">
        <v>1122</v>
      </c>
      <c r="E81" s="121"/>
    </row>
    <row r="83" customFormat="false" ht="15" hidden="false" customHeight="false" outlineLevel="0" collapsed="false">
      <c r="B83" s="8"/>
      <c r="C83" s="7" t="s">
        <v>1193</v>
      </c>
      <c r="D83" s="8"/>
      <c r="E83" s="8"/>
    </row>
    <row r="84" customFormat="false" ht="15" hidden="false" customHeight="false" outlineLevel="0" collapsed="false">
      <c r="B84" s="4" t="n">
        <v>66</v>
      </c>
      <c r="C84" s="122" t="s">
        <v>1194</v>
      </c>
      <c r="D84" s="9" t="s">
        <v>1122</v>
      </c>
      <c r="E84" s="121"/>
    </row>
    <row r="85" customFormat="false" ht="15" hidden="false" customHeight="false" outlineLevel="0" collapsed="false">
      <c r="B85" s="4" t="n">
        <v>67</v>
      </c>
      <c r="C85" s="122" t="s">
        <v>1195</v>
      </c>
      <c r="D85" s="9" t="s">
        <v>1122</v>
      </c>
      <c r="E85" s="121"/>
    </row>
    <row r="86" customFormat="false" ht="15" hidden="false" customHeight="false" outlineLevel="0" collapsed="false">
      <c r="B86" s="4" t="n">
        <v>68</v>
      </c>
      <c r="C86" s="122" t="s">
        <v>1196</v>
      </c>
      <c r="D86" s="9" t="s">
        <v>1122</v>
      </c>
      <c r="E86" s="121"/>
    </row>
    <row r="87" customFormat="false" ht="15" hidden="false" customHeight="false" outlineLevel="0" collapsed="false">
      <c r="B87" s="4" t="n">
        <v>69</v>
      </c>
      <c r="C87" s="122" t="s">
        <v>1197</v>
      </c>
      <c r="D87" s="9" t="s">
        <v>1122</v>
      </c>
      <c r="E87" s="121"/>
    </row>
    <row r="88" customFormat="false" ht="15" hidden="false" customHeight="false" outlineLevel="0" collapsed="false">
      <c r="B88" s="4" t="n">
        <v>70</v>
      </c>
      <c r="C88" s="122" t="s">
        <v>1198</v>
      </c>
      <c r="D88" s="9" t="s">
        <v>1122</v>
      </c>
      <c r="E88" s="121"/>
    </row>
    <row r="89" customFormat="false" ht="15" hidden="false" customHeight="false" outlineLevel="0" collapsed="false">
      <c r="B89" s="4" t="n">
        <v>71</v>
      </c>
      <c r="C89" s="122" t="s">
        <v>1199</v>
      </c>
      <c r="D89" s="9" t="s">
        <v>1122</v>
      </c>
      <c r="E89" s="121"/>
    </row>
    <row r="90" customFormat="false" ht="15" hidden="false" customHeight="false" outlineLevel="0" collapsed="false">
      <c r="B90" s="4" t="n">
        <v>72</v>
      </c>
      <c r="C90" s="122" t="s">
        <v>1200</v>
      </c>
      <c r="D90" s="9" t="s">
        <v>1122</v>
      </c>
      <c r="E90" s="121"/>
    </row>
    <row r="92" customFormat="false" ht="15" hidden="false" customHeight="false" outlineLevel="0" collapsed="false">
      <c r="B92" s="8"/>
      <c r="C92" s="7" t="s">
        <v>1201</v>
      </c>
      <c r="D92" s="8"/>
      <c r="E92" s="8"/>
    </row>
    <row r="93" customFormat="false" ht="15" hidden="false" customHeight="false" outlineLevel="0" collapsed="false">
      <c r="B93" s="4" t="n">
        <v>73</v>
      </c>
      <c r="C93" s="122" t="s">
        <v>1202</v>
      </c>
      <c r="D93" s="9" t="s">
        <v>1122</v>
      </c>
      <c r="E93" s="121"/>
    </row>
    <row r="94" customFormat="false" ht="23.85" hidden="false" customHeight="false" outlineLevel="0" collapsed="false">
      <c r="B94" s="4" t="n">
        <v>74</v>
      </c>
      <c r="C94" s="122" t="s">
        <v>1203</v>
      </c>
      <c r="D94" s="9" t="s">
        <v>1122</v>
      </c>
      <c r="E94" s="121"/>
    </row>
    <row r="95" customFormat="false" ht="15" hidden="false" customHeight="false" outlineLevel="0" collapsed="false">
      <c r="B95" s="4" t="n">
        <v>75</v>
      </c>
      <c r="C95" s="122" t="s">
        <v>1204</v>
      </c>
      <c r="D95" s="9" t="s">
        <v>1122</v>
      </c>
      <c r="E95" s="121"/>
    </row>
    <row r="96" customFormat="false" ht="15" hidden="false" customHeight="false" outlineLevel="0" collapsed="false">
      <c r="B96" s="4" t="n">
        <v>76</v>
      </c>
      <c r="C96" s="122" t="s">
        <v>1205</v>
      </c>
      <c r="D96" s="9" t="s">
        <v>1122</v>
      </c>
      <c r="E96" s="121"/>
    </row>
    <row r="97" customFormat="false" ht="15" hidden="false" customHeight="false" outlineLevel="0" collapsed="false">
      <c r="B97" s="4" t="n">
        <v>77</v>
      </c>
      <c r="C97" s="122" t="s">
        <v>1206</v>
      </c>
      <c r="D97" s="9" t="s">
        <v>1122</v>
      </c>
      <c r="E97" s="1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5" min="4" style="0" width="22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1207</v>
      </c>
    </row>
    <row r="2" customFormat="false" ht="15" hidden="false" customHeight="false" outlineLevel="0" collapsed="false">
      <c r="A2" s="2" t="s">
        <v>1208</v>
      </c>
    </row>
    <row r="4" customFormat="false" ht="15" hidden="false" customHeight="false" outlineLevel="0" collapsed="false">
      <c r="B4" s="17" t="s">
        <v>1209</v>
      </c>
      <c r="C4" s="17" t="s">
        <v>1210</v>
      </c>
      <c r="D4" s="17" t="s">
        <v>1211</v>
      </c>
      <c r="E4" s="17" t="s">
        <v>1212</v>
      </c>
      <c r="F4" s="17" t="s">
        <v>1213</v>
      </c>
    </row>
    <row r="5" customFormat="false" ht="15" hidden="false" customHeight="false" outlineLevel="0" collapsed="false">
      <c r="B5" s="18" t="s">
        <v>1214</v>
      </c>
      <c r="C5" s="9"/>
      <c r="D5" s="9"/>
      <c r="E5" s="9"/>
      <c r="F5" s="80" t="s">
        <v>1215</v>
      </c>
    </row>
    <row r="6" customFormat="false" ht="15" hidden="false" customHeight="false" outlineLevel="0" collapsed="false">
      <c r="B6" s="18" t="s">
        <v>1216</v>
      </c>
      <c r="C6" s="9"/>
      <c r="D6" s="9"/>
      <c r="E6" s="9"/>
      <c r="F6" s="80" t="s">
        <v>1217</v>
      </c>
    </row>
    <row r="7" customFormat="false" ht="15" hidden="false" customHeight="false" outlineLevel="0" collapsed="false">
      <c r="B7" s="18" t="s">
        <v>1218</v>
      </c>
      <c r="C7" s="9"/>
      <c r="D7" s="9"/>
      <c r="E7" s="9"/>
      <c r="F7" s="80" t="s">
        <v>1219</v>
      </c>
    </row>
    <row r="8" customFormat="false" ht="15" hidden="false" customHeight="false" outlineLevel="0" collapsed="false">
      <c r="B8" s="51" t="s">
        <v>1220</v>
      </c>
      <c r="C8" s="9"/>
      <c r="D8" s="9"/>
      <c r="E8" s="9"/>
      <c r="F8" s="80" t="s">
        <v>1221</v>
      </c>
    </row>
    <row r="9" customFormat="false" ht="15" hidden="false" customHeight="false" outlineLevel="0" collapsed="false">
      <c r="B9" s="18" t="s">
        <v>697</v>
      </c>
      <c r="C9" s="9"/>
      <c r="D9" s="9"/>
      <c r="E9" s="9"/>
      <c r="F9" s="80" t="s">
        <v>1222</v>
      </c>
    </row>
    <row r="10" customFormat="false" ht="15" hidden="false" customHeight="false" outlineLevel="0" collapsed="false">
      <c r="B10" s="18" t="s">
        <v>699</v>
      </c>
      <c r="C10" s="9"/>
      <c r="D10" s="9"/>
      <c r="E10" s="9"/>
      <c r="F10" s="80" t="s">
        <v>1223</v>
      </c>
    </row>
    <row r="11" customFormat="false" ht="15" hidden="false" customHeight="false" outlineLevel="0" collapsed="false">
      <c r="B11" s="18" t="s">
        <v>1224</v>
      </c>
      <c r="C11" s="9"/>
      <c r="D11" s="9"/>
      <c r="E11" s="9"/>
      <c r="F11" s="80" t="s">
        <v>1225</v>
      </c>
    </row>
    <row r="12" customFormat="false" ht="15" hidden="false" customHeight="false" outlineLevel="0" collapsed="false">
      <c r="B12" s="18" t="s">
        <v>1226</v>
      </c>
      <c r="C12" s="9"/>
      <c r="D12" s="9"/>
      <c r="E12" s="9"/>
      <c r="F12" s="80" t="s">
        <v>1227</v>
      </c>
    </row>
    <row r="13" customFormat="false" ht="15" hidden="false" customHeight="false" outlineLevel="0" collapsed="false">
      <c r="B13" s="18" t="s">
        <v>1228</v>
      </c>
      <c r="C13" s="9"/>
      <c r="D13" s="9"/>
      <c r="E13" s="9"/>
      <c r="F13" s="80" t="s">
        <v>1229</v>
      </c>
    </row>
    <row r="14" customFormat="false" ht="15" hidden="false" customHeight="false" outlineLevel="0" collapsed="false">
      <c r="B14" s="18" t="s">
        <v>727</v>
      </c>
      <c r="C14" s="9"/>
      <c r="D14" s="9"/>
      <c r="E14" s="9"/>
      <c r="F14" s="80" t="s">
        <v>1230</v>
      </c>
    </row>
    <row r="15" customFormat="false" ht="15" hidden="false" customHeight="false" outlineLevel="0" collapsed="false">
      <c r="B15" s="18" t="s">
        <v>1231</v>
      </c>
      <c r="C15" s="9"/>
      <c r="D15" s="9"/>
      <c r="E15" s="9"/>
      <c r="F15" s="80" t="s">
        <v>1232</v>
      </c>
    </row>
    <row r="16" customFormat="false" ht="15" hidden="false" customHeight="false" outlineLevel="0" collapsed="false">
      <c r="B16" s="18" t="s">
        <v>1233</v>
      </c>
      <c r="C16" s="9"/>
      <c r="D16" s="9"/>
      <c r="E16" s="9"/>
      <c r="F16" s="80" t="s">
        <v>1234</v>
      </c>
    </row>
    <row r="17" customFormat="false" ht="15" hidden="false" customHeight="false" outlineLevel="0" collapsed="false">
      <c r="B17" s="18" t="s">
        <v>729</v>
      </c>
      <c r="C17" s="9"/>
      <c r="D17" s="9"/>
      <c r="E17" s="9"/>
      <c r="F17" s="80" t="s">
        <v>1235</v>
      </c>
    </row>
    <row r="18" customFormat="false" ht="15" hidden="false" customHeight="false" outlineLevel="0" collapsed="false">
      <c r="B18" s="18" t="s">
        <v>1236</v>
      </c>
      <c r="C18" s="9"/>
      <c r="D18" s="9"/>
      <c r="E18" s="9"/>
      <c r="F18" s="80" t="s">
        <v>1237</v>
      </c>
    </row>
    <row r="19" customFormat="false" ht="15" hidden="false" customHeight="false" outlineLevel="0" collapsed="false">
      <c r="B19" s="18" t="s">
        <v>1238</v>
      </c>
      <c r="C19" s="9"/>
      <c r="D19" s="9"/>
      <c r="E19" s="9"/>
      <c r="F19" s="80" t="s">
        <v>1239</v>
      </c>
    </row>
    <row r="20" customFormat="false" ht="15" hidden="false" customHeight="false" outlineLevel="0" collapsed="false">
      <c r="B20" s="18" t="s">
        <v>1240</v>
      </c>
      <c r="C20" s="9"/>
      <c r="D20" s="9"/>
      <c r="E20" s="9"/>
      <c r="F20" s="80" t="s">
        <v>1241</v>
      </c>
    </row>
    <row r="21" customFormat="false" ht="15" hidden="false" customHeight="false" outlineLevel="0" collapsed="false">
      <c r="B21" s="18" t="s">
        <v>1242</v>
      </c>
      <c r="C21" s="9"/>
      <c r="D21" s="9"/>
      <c r="E21" s="9"/>
      <c r="F21" s="80" t="s">
        <v>1243</v>
      </c>
    </row>
    <row r="22" customFormat="false" ht="15" hidden="false" customHeight="false" outlineLevel="0" collapsed="false">
      <c r="B22" s="18" t="s">
        <v>1244</v>
      </c>
      <c r="C22" s="9"/>
      <c r="D22" s="9"/>
      <c r="E22" s="9"/>
      <c r="F22" s="80" t="s">
        <v>1245</v>
      </c>
    </row>
    <row r="23" customFormat="false" ht="15" hidden="false" customHeight="false" outlineLevel="0" collapsed="false">
      <c r="B23" s="18" t="s">
        <v>1246</v>
      </c>
      <c r="C23" s="9"/>
      <c r="D23" s="9"/>
      <c r="E23" s="9"/>
      <c r="F23" s="80" t="s">
        <v>1247</v>
      </c>
    </row>
    <row r="24" customFormat="false" ht="15" hidden="false" customHeight="false" outlineLevel="0" collapsed="false">
      <c r="B24" s="18" t="s">
        <v>1248</v>
      </c>
      <c r="C24" s="9"/>
      <c r="D24" s="9"/>
      <c r="E24" s="9"/>
      <c r="F24" s="80" t="s">
        <v>1249</v>
      </c>
    </row>
    <row r="25" customFormat="false" ht="15" hidden="false" customHeight="false" outlineLevel="0" collapsed="false">
      <c r="B25" s="18" t="s">
        <v>1250</v>
      </c>
      <c r="C25" s="9"/>
      <c r="D25" s="9"/>
      <c r="E25" s="9"/>
      <c r="F25" s="80" t="s">
        <v>1251</v>
      </c>
    </row>
    <row r="26" customFormat="false" ht="15" hidden="false" customHeight="false" outlineLevel="0" collapsed="false">
      <c r="B26" s="18" t="s">
        <v>1252</v>
      </c>
      <c r="C26" s="9"/>
      <c r="D26" s="9"/>
      <c r="E26" s="9"/>
      <c r="F26" s="80" t="s">
        <v>1253</v>
      </c>
    </row>
    <row r="27" customFormat="false" ht="15" hidden="false" customHeight="false" outlineLevel="0" collapsed="false">
      <c r="B27" s="18" t="s">
        <v>1254</v>
      </c>
      <c r="C27" s="9"/>
      <c r="D27" s="9"/>
      <c r="E27" s="9"/>
      <c r="F27" s="80" t="s">
        <v>1255</v>
      </c>
    </row>
    <row r="28" customFormat="false" ht="15" hidden="false" customHeight="false" outlineLevel="0" collapsed="false">
      <c r="B28" s="51" t="s">
        <v>1256</v>
      </c>
      <c r="C28" s="9"/>
      <c r="D28" s="9"/>
      <c r="E28" s="9"/>
      <c r="F28" s="80" t="s">
        <v>1257</v>
      </c>
    </row>
    <row r="29" customFormat="false" ht="15" hidden="false" customHeight="false" outlineLevel="0" collapsed="false">
      <c r="B29" s="18" t="s">
        <v>1258</v>
      </c>
      <c r="C29" s="9"/>
      <c r="D29" s="9"/>
      <c r="E29" s="9"/>
      <c r="F29" s="80" t="s">
        <v>1259</v>
      </c>
    </row>
    <row r="30" customFormat="false" ht="15" hidden="false" customHeight="false" outlineLevel="0" collapsed="false">
      <c r="B30" s="18" t="s">
        <v>1260</v>
      </c>
      <c r="C30" s="9"/>
      <c r="D30" s="9"/>
      <c r="E30" s="9"/>
      <c r="F30" s="80" t="s">
        <v>1261</v>
      </c>
    </row>
    <row r="31" customFormat="false" ht="15" hidden="false" customHeight="false" outlineLevel="0" collapsed="false">
      <c r="B31" s="18" t="s">
        <v>1262</v>
      </c>
      <c r="C31" s="9"/>
      <c r="D31" s="9"/>
      <c r="E31" s="9"/>
      <c r="F31" s="80" t="s">
        <v>1263</v>
      </c>
    </row>
    <row r="32" customFormat="false" ht="15" hidden="false" customHeight="false" outlineLevel="0" collapsed="false">
      <c r="B32" s="18" t="s">
        <v>1264</v>
      </c>
      <c r="C32" s="9"/>
      <c r="D32" s="9"/>
      <c r="E32" s="9"/>
      <c r="F32" s="80" t="s">
        <v>1265</v>
      </c>
    </row>
    <row r="33" customFormat="false" ht="15" hidden="false" customHeight="false" outlineLevel="0" collapsed="false">
      <c r="B33" s="18" t="s">
        <v>1266</v>
      </c>
      <c r="C33" s="9"/>
      <c r="D33" s="9"/>
      <c r="E33" s="9"/>
      <c r="F33" s="80" t="s">
        <v>1267</v>
      </c>
    </row>
    <row r="34" customFormat="false" ht="15" hidden="false" customHeight="false" outlineLevel="0" collapsed="false">
      <c r="B34" s="18" t="s">
        <v>1268</v>
      </c>
      <c r="C34" s="9"/>
      <c r="D34" s="9"/>
      <c r="E34" s="9"/>
      <c r="F34" s="80" t="s">
        <v>1269</v>
      </c>
    </row>
    <row r="35" customFormat="false" ht="15" hidden="false" customHeight="false" outlineLevel="0" collapsed="false">
      <c r="B35" s="18" t="s">
        <v>745</v>
      </c>
      <c r="C35" s="9"/>
      <c r="D35" s="9"/>
      <c r="E35" s="9"/>
      <c r="F35" s="80" t="s">
        <v>1270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2026-08-12T15:51:01Z</dcterms:created>
  <dc:creator>openpyxl</dc:creator>
  <dc:description/>
  <dc:language>en-US</dc:language>
  <cp:lastModifiedBy/>
  <dcterms:modified xsi:type="dcterms:W3CDTF">2026-08-12T15:51:01Z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