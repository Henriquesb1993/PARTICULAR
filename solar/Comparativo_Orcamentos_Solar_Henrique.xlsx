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<sst xmlns="http://schemas.openxmlformats.org/spreadsheetml/2006/main" count="1518" uniqueCount="1213">
  <si>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</si>
  <si>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</si>
  <si>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</si>
  <si>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</si>
  <si>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</si>
  <si>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</si>
  <si>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</si>
  <si>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</si>
  <si>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</si>
  <si>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</si>
  <si>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</si>
  <si>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</si>
  <si>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</si>
  <si>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</si>
  <si>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</si>
  <si>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</si>
  <si>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</si>
  <si>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</si>
  <si>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</si>
  <si>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</si>
  <si>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</si>
  <si>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</si>
  <si>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</si>
  <si>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</si>
  <si>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</si>
  <si>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</si>
  <si>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</si>
  <si>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</si>
  <si>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</si>
  <si>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</si>
  <si>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</si>
  <si>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</si>
  <si>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</si>
  <si>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</si>
  <si>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</si>
  <si>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</si>
  <si>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</si>
  <si>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</si>
  <si>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</si>
  <si>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</si>
  <si>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</si>
  <si>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</si>
  <si>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</si>
  <si>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</si>
  <si>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</si>
  <si>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</si>
  <si>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</si>
  <si>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</si>
  <si>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</si>
  <si>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</si>
  <si>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</si>
  <si>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</si>
  <si>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</si>
  <si>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</si>
  <si>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</si>
  <si>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</si>
  <si>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</si>
  <si>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</si>
  <si>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</si>
  <si>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</si>
  <si>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</si>
  <si>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</si>
  <si>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</si>
  <si>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</si>
  <si>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</si>
  <si>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</si>
  <si>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</si>
  <si>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</si>
  <si>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</si>
  <si>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</si>
  <si>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</si>
  <si>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</si>
  <si>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</si>
  <si>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</si>
  <si>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</si>
  <si>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</si>
  <si>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</si>
  <si>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</si>
  <si>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</si>
  <si>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</si>
  <si>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</si>
  <si>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</si>
  <si>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</si>
  <si>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</si>
  <si>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</si>
  <si>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</si>
  <si>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</si>
  <si>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</si>
  <si>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</si>
  <si>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</si>
  <si>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</si>
  <si>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</si>
  <si>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</si>
  <si>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</si>
  <si>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</si>
  <si>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</si>
  <si>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</si>
  <si>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</si>
  <si>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</si>
  <si>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</si>
  <si>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</si>
  <si>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</si>
  <si>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</si>
  <si>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</si>
  <si>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</si>
  <si>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</si>
  <si>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</si>
  <si>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</si>
  <si>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</si>
  <si>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</si>
  <si>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</si>
  <si>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</si>
  <si>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</si>
  <si>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</si>
  <si>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</si>
  <si>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</si>
  <si>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</si>
  <si>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</si>
  <si>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</si>
  <si>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</si>
  <si>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</si>
  <si>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</si>
  <si>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</si>
  <si>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</si>
  <si>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</si>
  <si>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</si>
  <si>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</si>
  <si>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</si>
  <si>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</si>
  <si>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</si>
  <si>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</si>
  <si>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</si>
  <si>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</si>
  <si>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</si>
  <si>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</si>
  <si>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</si>
  <si>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</si>
  <si>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</si>
  <si>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</si>
  <si>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</si>
  <si>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</si>
  <si>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</si>
  <si>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</si>
  <si>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</si>
  <si>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</si>
  <si>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</si>
  <si>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</si>
  <si>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</si>
  <si>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</si>
  <si>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</si>
  <si>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</si>
  <si>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</si>
  <si>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</si>
  <si>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</si>
  <si>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BYD Song Pro DM-i GL</t>
  </si>
  <si>
    <t xml:space="preserve">INFORMADO pelo cliente</t>
  </si>
  <si>
    <t xml:space="preserve">Capacidade da bateria</t>
  </si>
  <si>
    <t xml:space="preserve">kWh</t>
  </si>
  <si>
    <t xml:space="preserve">ESTIMATIVA para o Song Pro DM-i - CONFIRMAR no manual, pois a versao GL pode diferir</t>
  </si>
  <si>
    <t xml:space="preserve">Consumo eletrico do veiculo</t>
  </si>
  <si>
    <t xml:space="preserve">kWh/100km</t>
  </si>
  <si>
    <t xml:space="preserve">ESTIMATIVA de uso real do Song Pro em modo eletrico. Faixa plausivel: 14 a 18 conforme trajeto e uso de ar-condicionado</t>
  </si>
  <si>
    <t xml:space="preserve">Distancia percorrida por dia</t>
  </si>
  <si>
    <t xml:space="preserve">km/dia</t>
  </si>
  <si>
    <t xml:space="preserve">Dias de carregamento por mes</t>
  </si>
  <si>
    <t xml:space="preserve">dias/mes</t>
  </si>
  <si>
    <t xml:space="preserve">ESTIMATIVA - ajuste se rodar tambem nos fins de semana (ate 30)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</si>
  <si>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</si>
  <si>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</si>
  <si>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</si>
  <si>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</si>
  <si>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do Song Pro DM-i. CONFIRMAR - define disjuntor e cabo</t>
  </si>
  <si>
    <t xml:space="preserve">Objetivo declarado</t>
  </si>
  <si>
    <t xml:space="preserve">RODAR TUDO NO ELETRICO</t>
  </si>
  <si>
    <t xml:space="preserve">INFORMADO pelo cliente. Exige DUAS cargas por dia - ver bloco 7 da aba BYD</t>
  </si>
  <si>
    <t xml:space="preserve">Margem de crescimento futuro do consumo</t>
  </si>
  <si>
    <t xml:space="preserve">Premissa para o Cenario 3. A conta ja mostra alta de 22% em 6 meses e 39% ano a ano</t>
  </si>
  <si>
    <t xml:space="preserve">Reserva da bateria mantida para o modo hibrido</t>
  </si>
  <si>
    <t xml:space="preserve">Os DM-i nao esvaziam a bateria: guardam uma reserva para operar como hibrido. ESTIMATIVA de 25%</t>
  </si>
  <si>
    <t xml:space="preserve">E) BASE DE DIMENSIONAMENTO (calculada da conta real)</t>
  </si>
  <si>
    <t xml:space="preserve">Base residencial PURA - 10 meses antes do degrau</t>
  </si>
  <si>
    <t xml:space="preserve">352 kWh/mes. E a base USADA nos cenarios, partindo do principio de que o degrau de maio ja e carga do carro</t>
  </si>
  <si>
    <t xml:space="preserve">Alternativa: consumo atual medido (com o degrau)</t>
  </si>
  <si>
    <t xml:space="preserve">468 kWh/mes. Use esta se o degrau for OUTRA carga nova e nao o carro - ver bloco 6 da aba BYD</t>
  </si>
  <si>
    <t xml:space="preserve">Custo marginal por modulo adicional (instalado)</t>
  </si>
  <si>
    <t xml:space="preserve">R$/modulo</t>
  </si>
  <si>
    <t xml:space="preserve">ESTIMATIVA: modulo + estrutura + cabo + mao de obra, SEM inversor. Usado nas colunas de simulacao G12 e G14. PEDIR O VALOR REAL AO YURI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</si>
  <si>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</si>
  <si>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</si>
  <si>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</si>
  <si>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</si>
  <si>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</si>
  <si>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</si>
  <si>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</si>
  <si>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</si>
  <si>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</si>
  <si>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</si>
  <si>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</si>
  <si>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</si>
  <si>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</si>
  <si>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</si>
  <si>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</si>
  <si>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</si>
  <si>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</si>
  <si>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</si>
  <si>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</si>
  <si>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</si>
  <si>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</si>
  <si>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</si>
  <si>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</si>
  <si>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</si>
  <si>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</si>
  <si>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</si>
  <si>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</si>
  <si>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</si>
  <si>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</si>
  <si>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</si>
  <si>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</si>
  <si>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</si>
  <si>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</si>
  <si>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</si>
  <si>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</si>
  <si>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</si>
  <si>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</si>
  <si>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</si>
  <si>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</si>
  <si>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</si>
  <si>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</si>
  <si>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</si>
  <si>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</si>
  <si>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</si>
  <si>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</si>
  <si>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</si>
  <si>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</si>
  <si>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</si>
  <si>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</si>
  <si>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</si>
  <si>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</si>
  <si>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</si>
  <si>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</si>
  <si>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</si>
  <si>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</si>
  <si>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</si>
  <si>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</si>
  <si>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</si>
  <si>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</si>
  <si>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</si>
  <si>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</si>
  <si>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</si>
  <si>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</si>
  <si>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</si>
  <si>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</si>
  <si>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</si>
  <si>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</si>
  <si>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</si>
  <si>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</si>
  <si>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</si>
  <si>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</si>
  <si>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</si>
  <si>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</si>
  <si>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</si>
  <si>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</si>
  <si>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</si>
  <si>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</si>
  <si>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</si>
  <si>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</si>
  <si>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</si>
  <si>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</si>
  <si>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</si>
  <si>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</si>
  <si>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</si>
  <si>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</si>
  <si>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</si>
  <si>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</si>
  <si>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</si>
  <si>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</si>
  <si>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</si>
  <si>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</si>
  <si>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</si>
  <si>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</si>
  <si>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</si>
  <si>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</si>
  <si>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</si>
  <si>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</si>
  <si>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</si>
  <si>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</si>
  <si>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</si>
  <si>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</si>
  <si>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</si>
  <si>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</si>
  <si>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</si>
  <si>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</si>
  <si>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</si>
  <si>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</si>
  <si>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</si>
  <si>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</si>
  <si>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</si>
  <si>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</si>
  <si>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</si>
  <si>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</si>
  <si>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</si>
  <si>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</si>
  <si>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</si>
  <si>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</si>
  <si>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</si>
  <si>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</si>
  <si>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</si>
  <si>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</si>
  <si>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</si>
  <si>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</si>
  <si>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</si>
  <si>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</si>
  <si>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</si>
  <si>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</si>
  <si>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</si>
  <si>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</si>
  <si>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</si>
  <si>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</si>
  <si>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</si>
  <si>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</si>
  <si>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</si>
  <si>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</si>
  <si>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</si>
  <si>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</si>
  <si>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</si>
  <si>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</si>
  <si>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</si>
  <si>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</si>
  <si>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</si>
  <si>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</si>
  <si>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</si>
  <si>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</si>
  <si>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</si>
  <si>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</si>
  <si>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</si>
  <si>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</si>
  <si>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</si>
  <si>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</si>
  <si>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</si>
  <si>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</si>
  <si>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</si>
  <si>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</si>
  <si>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</si>
  <si>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</si>
  <si>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</si>
  <si>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</si>
  <si>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</si>
  <si>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</si>
  <si>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</si>
  <si>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</si>
  <si>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</si>
  <si>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</si>
  <si>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</si>
  <si>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</si>
  <si>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</si>
  <si>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</si>
  <si>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</si>
  <si>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</si>
  <si>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</si>
  <si>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</si>
  <si>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</si>
  <si>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</si>
  <si>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</si>
  <si>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</si>
  <si>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</si>
  <si>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</si>
  <si>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</si>
  <si>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</si>
  <si>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</si>
  <si>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</si>
  <si>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</si>
  <si>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</si>
  <si>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</si>
  <si>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</si>
  <si>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</si>
  <si>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</si>
  <si>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</si>
  <si>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</si>
  <si>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</si>
  <si>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</si>
  <si>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</si>
  <si>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</si>
  <si>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</si>
  <si>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</si>
  <si>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</si>
  <si>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</si>
  <si>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</si>
  <si>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ESTIMATIVA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</si>
  <si>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</si>
  <si>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</si>
  <si>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</si>
  <si>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</si>
  <si>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</si>
  <si>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</si>
  <si>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</si>
  <si>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</si>
  <si>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</si>
  <si>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</si>
  <si>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</si>
  <si>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</si>
  <si>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</si>
  <si>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</si>
  <si>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</si>
  <si>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</si>
  <si>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</si>
  <si>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</si>
  <si>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</si>
  <si>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</si>
  <si>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</si>
  <si>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</si>
  <si>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</si>
  <si>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</si>
  <si>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</si>
  <si>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</si>
  <si>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</si>
  <si>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</si>
  <si>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</si>
  <si>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</si>
  <si>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</si>
  <si>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</si>
  <si>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</si>
  <si>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</si>
  <si>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</si>
  <si>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</si>
  <si>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</si>
  <si>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</si>
  <si>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</si>
  <si>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</si>
  <si>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</si>
  <si>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</si>
  <si>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</si>
  <si>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</si>
  <si>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So a residencia (base pura, sem o carro)</t>
  </si>
  <si>
    <t xml:space="preserve">2 - RESIDENCIA + BYD tudo no eletrico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</si>
  <si>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</si>
  <si>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</si>
  <si>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</si>
  <si>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</si>
  <si>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</si>
  <si>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</si>
  <si>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</si>
  <si>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</si>
  <si>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</si>
  <si>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</si>
  <si>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</si>
  <si>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</si>
  <si>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</si>
  <si>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</si>
  <si>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</si>
  <si>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</si>
  <si>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</si>
  <si>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</si>
  <si>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</si>
  <si>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</si>
  <si>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</si>
  <si>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</si>
  <si>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</si>
  <si>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</si>
  <si>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</si>
  <si>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</si>
  <si>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</si>
  <si>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</si>
  <si>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</si>
  <si>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</si>
  <si>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</si>
  <si>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</si>
  <si>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</si>
  <si>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</si>
  <si>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</si>
  <si>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</si>
  <si>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</si>
  <si>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</si>
  <si>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</si>
  <si>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</si>
  <si>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</si>
  <si>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</si>
  <si>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</si>
  <si>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7) LIMITE FISICO DA BATERIA - DA PARA RODAR 80 km/dia SO NO ELETRICO?</t>
  </si>
  <si>
    <t xml:space="preserve">Bateria nominal do Song Pro DM-i</t>
  </si>
  <si>
    <t xml:space="preserve">ESTIMATIVA a confirmar no manual</t>
  </si>
  <si>
    <t xml:space="preserve">Reserva mantida para o modo hibrido</t>
  </si>
  <si>
    <t xml:space="preserve">O DM-i nao esvazia a bateria - guarda reserva para rodar como hibrido</t>
  </si>
  <si>
    <t xml:space="preserve">Energia UTIL por carga (na bateria)</t>
  </si>
  <si>
    <t xml:space="preserve">E o que sobra para rodar em modo eletrico</t>
  </si>
  <si>
    <t xml:space="preserve">Energia da REDE por carga completa</t>
  </si>
  <si>
    <t xml:space="preserve">Inclui as perdas de carregamento</t>
  </si>
  <si>
    <t xml:space="preserve">KM COBERTOS POR UMA CARGA</t>
  </si>
  <si>
    <t xml:space="preserve">km</t>
  </si>
  <si>
    <t xml:space="preserve">Autonomia eletrica real por carga</t>
  </si>
  <si>
    <t xml:space="preserve">km/dia que voce roda</t>
  </si>
  <si>
    <t xml:space="preserve">Informado: 80 km/dia</t>
  </si>
  <si>
    <t xml:space="preserve">CARGAS NECESSARIAS POR DIA</t>
  </si>
  <si>
    <t xml:space="preserve">cargas/dia</t>
  </si>
  <si>
    <t xml:space="preserve">Acima de 1 significa que uma carga em casa NAO cobre o dia</t>
  </si>
  <si>
    <t xml:space="preserve">km/dia que ficam na GASOLINA com uma carga so</t>
  </si>
  <si>
    <t xml:space="preserve">Energia que o sistema solar NAO substitui</t>
  </si>
  <si>
    <t xml:space="preserve">Tempo total de carga por dia no carregador de 3,3 kW</t>
  </si>
  <si>
    <t xml:space="preserve">Somando as duas sessoes. Nao e o gargalo - o gargalo e o carro estar plugado duas vezes</t>
  </si>
  <si>
    <t xml:space="preserve">8) ESTRATEGIAS DE CARREGAMENTO E O SISTEMA QUE CADA UMA EXIGE</t>
  </si>
  <si>
    <t xml:space="preserve">Estrategia de carregamento</t>
  </si>
  <si>
    <t xml:space="preserve">kWh/dia da rede</t>
  </si>
  <si>
    <t xml:space="preserve">kWh/mes da rede</t>
  </si>
  <si>
    <t xml:space="preserve">Consumo TOTAL (base 352 + carro)</t>
  </si>
  <si>
    <t xml:space="preserve">Modulos de 650 W</t>
  </si>
  <si>
    <t xml:space="preserve">1 - Uma carga por dia em casa (limite da bateria)</t>
  </si>
  <si>
    <t xml:space="preserve">cobre ~60 dos 80 km; o resto na gasolina</t>
  </si>
  <si>
    <t xml:space="preserve">2 - DUAS cargas por dia: 80 km TODO ELETRICO</t>
  </si>
  <si>
    <t xml:space="preserve">E O SEU OBJETIVO. Exige o carro plugado duas vezes ao dia</t>
  </si>
  <si>
    <t xml:space="preserve">3 - Carga parcial de hoje (o degrau da conta)</t>
  </si>
  <si>
    <t xml:space="preserve">E o que a conta mostra acontecendo hoje: so ~19 km/dia de carga</t>
  </si>
  <si>
    <t xml:space="preserve">O ACHADO MAIS IMPORTANTE DESTE BLOCO:</t>
  </si>
  <si>
    <t xml:space="preserve">O Song Pro DM-i tem bateria de 12,9 kWh. Descontando a reserva que o carro guarda para operar como hibrido,</t>
  </si>
  <si>
    <t xml:space="preserve">sobram cerca de 9,7 kWh uteis por carga, o que rende aproximadamente 60 km de autonomia eletrica.</t>
  </si>
  <si>
    <t xml:space="preserve">Voce roda 80 km/dia. Portanto UMA carga em casa NAO cobre o seu dia - faltam uns 20 km, que vao na gasolina.</t>
  </si>
  <si>
    <t xml:space="preserve">Para rodar TUDO no eletrico voce precisa de DUAS sessoes de carga por dia. Isso significa uma destas rotinas:</t>
  </si>
  <si>
    <t xml:space="preserve">  (a) carregar de madrugada e novamente quando voltar para casa no meio do dia; ou</t>
  </si>
  <si>
    <t xml:space="preserve">  (b) carregar em casa e uma segunda vez no trabalho ou em eletroposto.</t>
  </si>
  <si>
    <t xml:space="preserve">O tempo nao e o problema: 4,5 h somadas no carregador de 3,3 kW. O problema e o carro estar plugado duas vezes.</t>
  </si>
  <si>
    <t xml:space="preserve">SE A SUA ROTINA E SAIR E SO VOLTAR NO FIM DO DIA, os 80 km todo eletrico NAO sao possiveis carregando so em casa,</t>
  </si>
  <si>
    <t xml:space="preserve">por mais placas que voce instale. Nesse caso o cenario realista e a Estrategia 1, com ~20 km/dia na gasolina.</t>
  </si>
  <si>
    <t xml:space="preserve">CONSEQUENCIA PARA O DIMENSIONAMENTO: a Estrategia 2 exige de 12 a 13 modulos de 650 W (cerca de 7,7 a 8,5 kWp).</t>
  </si>
  <si>
    <t xml:space="preserve">TODOS os dez orcamentos da planilha estao subdimensionados para esse objetivo - o maior deles tem 7,38 kWp.</t>
  </si>
  <si>
    <t xml:space="preserve">OPORTUNIDADE: como voce vai carregar duas vezes ao dia, uma das sessoes pode ficar entre 9h e 15h, em cima da</t>
  </si>
  <si>
    <t xml:space="preserve">geracao solar. Isso e autoconsumo instantaneo - nao passa pelo medidor e nao paga Fio B. A premissa de 30% de</t>
  </si>
  <si>
    <t xml:space="preserve">autoconsumo da aba ENTRADAS fica conservadora: com carga diurna do carro ela pode chegar a 45% ou 50%,</t>
  </si>
  <si>
    <t xml:space="preserve">e a economia sobe. Vale carregar de dia sempre que o carro estiver em casa.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</si>
  <si>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</si>
  <si>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</si>
  <si>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</si>
  <si>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</si>
  <si>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</si>
  <si>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</si>
  <si>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</si>
  <si>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</si>
  <si>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</si>
  <si>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</si>
  <si>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</si>
  <si>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</si>
  <si>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</si>
  <si>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</si>
  <si>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</si>
  <si>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</si>
  <si>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</si>
  <si>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</si>
  <si>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</si>
  <si>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</si>
  <si>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</si>
  <si>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</si>
  <si>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</si>
  <si>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</si>
  <si>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</si>
  <si>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</si>
  <si>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</si>
  <si>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</si>
  <si>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</si>
  <si>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</si>
  <si>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</si>
  <si>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</si>
  <si>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</si>
  <si>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</si>
  <si>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</si>
  <si>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</si>
  <si>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</si>
  <si>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</si>
  <si>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</si>
  <si>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</si>
  <si>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</si>
  <si>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</si>
  <si>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</si>
  <si>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</si>
  <si>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</si>
  <si>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</si>
  <si>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</si>
  <si>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</si>
  <si>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</si>
  <si>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</si>
  <si>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</si>
  <si>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</si>
  <si>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</si>
  <si>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</si>
  <si>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</si>
  <si>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</si>
  <si>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SIMULACAO G12
MICRO 12x650W
4x Deye 2,25 kW</t>
  </si>
  <si>
    <t xml:space="preserve">SIMULACAO G14
MICRO 14x650W
4x Deye 2,25 kW</t>
  </si>
  <si>
    <t xml:space="preserve">M)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</si>
  <si>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</si>
  <si>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</si>
  <si>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</si>
  <si>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</si>
  <si>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</si>
  <si>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</si>
  <si>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</si>
  <si>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</si>
  <si>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SunWash - SIMULACAO, preco a confirmar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</si>
  <si>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</si>
  <si>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</si>
  <si>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</si>
  <si>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</si>
  <si>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</si>
  <si>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</si>
  <si>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</si>
  <si>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</si>
  <si>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</si>
  <si>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</si>
  <si>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</si>
  <si>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</si>
  <si>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</si>
  <si>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</si>
  <si>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</si>
  <si>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</si>
  <si>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</si>
  <si>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</si>
  <si>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</si>
  <si>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</si>
  <si>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</si>
  <si>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</si>
  <si>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</si>
  <si>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</si>
  <si>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</si>
  <si>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</si>
  <si>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</si>
  <si>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</si>
  <si>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</si>
  <si>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</si>
  <si>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</si>
  <si>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</si>
  <si>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</si>
  <si>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</si>
  <si>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</si>
  <si>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</si>
  <si>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</si>
  <si>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SIMULACAO: opcao G escalada para 12 modulos</t>
  </si>
  <si>
    <t xml:space="preserve">SIMULACAO: opcao G escalada para 14 modulos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</si>
  <si>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</si>
  <si>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</si>
  <si>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</si>
  <si>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</si>
  <si>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</si>
  <si>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</si>
  <si>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</si>
  <si>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</si>
  <si>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</si>
  <si>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</si>
  <si>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</si>
  <si>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</si>
  <si>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</si>
  <si>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</si>
  <si>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</si>
  <si>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</si>
  <si>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</si>
  <si>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N-type (Tier 1 BNEF)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</si>
  <si>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</si>
  <si>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</si>
  <si>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</si>
  <si>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</si>
  <si>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</si>
  <si>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</si>
  <si>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</si>
  <si>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</si>
  <si>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</si>
  <si>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</si>
  <si>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</si>
  <si>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</si>
  <si>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DEYE SUN-S225G4-EU-Q0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</si>
  <si>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</si>
  <si>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</si>
  <si>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</si>
  <si>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4x DEYE SUN-S225G4-EU-Q0 = 9,0 kW AC (12 dos 16 canais)</t>
  </si>
  <si>
    <t xml:space="preserve">4x DEYE SUN-S225G4-EU-Q0 = 9,0 kW AC (14 dos 16 canais)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</si>
  <si>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</si>
  <si>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</si>
  <si>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</si>
  <si>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</si>
  <si>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</si>
  <si>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</si>
  <si>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</si>
  <si>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16 canais (10 usados, 6 livres)</t>
  </si>
  <si>
    <t xml:space="preserve">1 por modulo (10 MPPTs)</t>
  </si>
  <si>
    <t xml:space="preserve">2 (a confirmar)</t>
  </si>
  <si>
    <t xml:space="preserve">4 por micro = 16 canais (12 usados, 4 livres)</t>
  </si>
  <si>
    <t xml:space="preserve">4 por micro = 16 canais (14 usados, 2 livres)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</si>
  <si>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</si>
  <si>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</si>
  <si>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</si>
  <si>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</si>
  <si>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</si>
  <si>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</si>
  <si>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</si>
  <si>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</si>
  <si>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</si>
  <si>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</si>
  <si>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</si>
  <si>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</si>
  <si>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</si>
  <si>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</si>
  <si>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</si>
  <si>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</si>
  <si>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</si>
  <si>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nao declarada pelo vendedor - exigir por escrito (N-type costuma dar 12/25 a 30 anos)</t>
  </si>
  <si>
    <t xml:space="preserve">12 anos produto / 25 anos eficiencia</t>
  </si>
  <si>
    <t xml:space="preserve">15 anos defeito / 30 anos eficiencia</t>
  </si>
  <si>
    <t xml:space="preserve">exigir por escrito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</si>
  <si>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</si>
  <si>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</si>
  <si>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</si>
  <si>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nao declarada pelo vendedor - a Deye pratica 10 anos, exigir por escrito</t>
  </si>
  <si>
    <t xml:space="preserve">7 a 10 anos</t>
  </si>
  <si>
    <t xml:space="preserve">10 anos</t>
  </si>
  <si>
    <t xml:space="preserve">exigir por escrito (Deye pratica 10 anos)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</si>
  <si>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</si>
  <si>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</si>
  <si>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</si>
  <si>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</si>
  <si>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</si>
  <si>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</si>
  <si>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</si>
  <si>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</si>
  <si>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</si>
  <si>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</si>
  <si>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</si>
  <si>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</si>
  <si>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</si>
  <si>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</si>
  <si>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</si>
  <si>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</si>
  <si>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</si>
  <si>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</si>
  <si>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</si>
  <si>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</si>
  <si>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</si>
  <si>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pedir preco e parcelamento para esta configuracao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</si>
  <si>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</si>
  <si>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</si>
  <si>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</si>
  <si>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 - por isso as linhas de homologacao e instalacao ficam zeradas nelas.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</si>
  <si>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</si>
  <si>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</si>
  <si>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</si>
  <si>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</si>
  <si>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</si>
  <si>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</si>
  <si>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</si>
  <si>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orcamentos incluiu.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</si>
  <si>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</si>
  <si>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</si>
  <si>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</si>
  <si>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</si>
  <si>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</si>
  <si>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</si>
  <si>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</si>
  <si>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</si>
  <si>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</si>
  <si>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</si>
  <si>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</si>
  <si>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</si>
  <si>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</si>
  <si>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</si>
  <si>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6.385,01.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</si>
  <si>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</si>
  <si>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</si>
  <si>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</si>
  <si>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</si>
  <si>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</si>
  <si>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</si>
  <si>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</si>
  <si>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</si>
  <si>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</si>
  <si>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</si>
  <si>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</si>
  <si>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</si>
  <si>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</si>
  <si>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</si>
  <si>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</si>
  <si>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</si>
  <si>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</si>
  <si>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</si>
  <si>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</si>
  <si>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</si>
  <si>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</si>
  <si>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</si>
  <si>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</si>
  <si>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</si>
  <si>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</si>
  <si>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</si>
  <si>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</si>
  <si>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</si>
  <si>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</si>
  <si>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</si>
  <si>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</si>
  <si>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</si>
  <si>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</si>
  <si>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</si>
  <si>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</si>
  <si>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</si>
  <si>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</si>
  <si>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</si>
  <si>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</si>
  <si>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</si>
  <si>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</si>
  <si>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</si>
  <si>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6 MODULOS - canais livres nos 4 micros Deye</t>
  </si>
  <si>
    <t xml:space="preserve">1 modulo; para 12 precisa de um 3o micro</t>
  </si>
  <si>
    <t xml:space="preserve">5 modulos</t>
  </si>
  <si>
    <t xml:space="preserve">2 a 3 modulos</t>
  </si>
  <si>
    <t xml:space="preserve">4 modulos (canais livres)</t>
  </si>
  <si>
    <t xml:space="preserve">2 modulos (canais livres)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</si>
  <si>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</si>
  <si>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</si>
  <si>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</si>
  <si>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</si>
  <si>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</si>
  <si>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</si>
  <si>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</si>
  <si>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</si>
  <si>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</si>
  <si>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</si>
  <si>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</si>
  <si>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</si>
  <si>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</si>
  <si>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</si>
  <si>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</si>
  <si>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</si>
  <si>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</si>
  <si>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</si>
  <si>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</si>
  <si>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</si>
  <si>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</si>
  <si>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</si>
  <si>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</si>
  <si>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</si>
  <si>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</si>
  <si>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</si>
  <si>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</si>
  <si>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</si>
  <si>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</si>
  <si>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</si>
  <si>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</si>
  <si>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</si>
  <si>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</si>
  <si>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</si>
  <si>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</si>
  <si>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</si>
  <si>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</si>
  <si>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</si>
  <si>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</si>
  <si>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</si>
  <si>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</si>
  <si>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</si>
  <si>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</si>
  <si>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</si>
  <si>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</si>
  <si>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</si>
  <si>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</si>
  <si>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</si>
  <si>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</si>
  <si>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</si>
  <si>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</si>
  <si>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</si>
  <si>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</si>
  <si>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</si>
  <si>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</si>
  <si>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</si>
  <si>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</si>
  <si>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</si>
  <si>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</si>
  <si>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</si>
  <si>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</si>
  <si>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</si>
  <si>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</si>
  <si>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</si>
  <si>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</si>
  <si>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</si>
  <si>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</si>
  <si>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</si>
  <si>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</si>
  <si>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</si>
  <si>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</si>
  <si>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</si>
  <si>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</si>
  <si>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</si>
  <si>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</si>
  <si>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</si>
  <si>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</si>
  <si>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</si>
  <si>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</si>
  <si>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</si>
  <si>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</si>
  <si>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</si>
  <si>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</si>
  <si>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</si>
  <si>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</si>
  <si>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</si>
  <si>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</si>
  <si>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</si>
  <si>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</si>
  <si>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</si>
  <si>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</si>
  <si>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</si>
  <si>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</si>
  <si>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</si>
  <si>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</si>
  <si>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</si>
  <si>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</si>
  <si>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</si>
  <si>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</si>
  <si>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</si>
  <si>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</si>
  <si>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</si>
  <si>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</si>
  <si>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</si>
  <si>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</si>
  <si>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</si>
  <si>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</si>
  <si>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</si>
  <si>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</si>
  <si>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</si>
  <si>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</si>
  <si>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</si>
  <si>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</si>
  <si>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</si>
  <si>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</si>
  <si>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</si>
  <si>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</si>
  <si>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</si>
  <si>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</si>
  <si>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</si>
  <si>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</si>
  <si>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</si>
  <si>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</si>
  <si>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</si>
  <si>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SIMULACAO G12 MICRO 12x650W 4x Deye 2,25 kW</t>
  </si>
  <si>
    <t xml:space="preserve">SIMULACAO G14 MICRO 14x650W 4x Deye 2,25 kW</t>
  </si>
  <si>
    <t xml:space="preserve">M)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</si>
  <si>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</si>
  <si>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</si>
  <si>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</si>
  <si>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</si>
  <si>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</si>
  <si>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</si>
  <si>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</si>
  <si>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</si>
  <si>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</si>
  <si>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</si>
  <si>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</si>
  <si>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</si>
  <si>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</si>
  <si>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</si>
  <si>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</si>
  <si>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</si>
  <si>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</si>
  <si>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</si>
  <si>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</si>
  <si>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</si>
  <si>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</si>
  <si>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</si>
  <si>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</si>
  <si>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</si>
  <si>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</si>
  <si>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</si>
  <si>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</si>
  <si>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</si>
  <si>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</si>
  <si>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</si>
  <si>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</si>
  <si>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</si>
  <si>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</si>
  <si>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</si>
  <si>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</si>
  <si>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</si>
  <si>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</si>
  <si>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</si>
  <si>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</si>
  <si>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</si>
  <si>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</si>
  <si>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</si>
  <si>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</si>
  <si>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</si>
  <si>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</si>
  <si>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</si>
  <si>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</si>
  <si>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</si>
  <si>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</si>
  <si>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</si>
  <si>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</si>
  <si>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</si>
  <si>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</si>
  <si>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</si>
  <si>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</si>
  <si>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</si>
  <si>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</si>
  <si>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</si>
  <si>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</si>
  <si>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</si>
  <si>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</si>
  <si>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</si>
  <si>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</si>
  <si>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</si>
  <si>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</si>
  <si>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</si>
  <si>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</si>
  <si>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</si>
  <si>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</si>
  <si>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</si>
  <si>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</si>
  <si>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</si>
  <si>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</si>
  <si>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</si>
  <si>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</si>
  <si>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</si>
  <si>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</si>
  <si>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</si>
  <si>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</si>
  <si>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</si>
  <si>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</si>
  <si>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</si>
  <si>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</si>
  <si>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</si>
  <si>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</si>
  <si>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</si>
  <si>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</si>
  <si>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</si>
  <si>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</si>
  <si>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</si>
  <si>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</si>
  <si>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</si>
  <si>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</si>
  <si>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</si>
  <si>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</si>
  <si>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SIMULACAO G12
Economia</t>
  </si>
  <si>
    <t xml:space="preserve">SIMULACAO G12
Acumulado</t>
  </si>
  <si>
    <t xml:space="preserve">SIMULACAO G12
Fluxo</t>
  </si>
  <si>
    <t xml:space="preserve">SIMULACAO G14
Economia</t>
  </si>
  <si>
    <t xml:space="preserve">SIMULACAO G14
Acumulado</t>
  </si>
  <si>
    <t xml:space="preserve">SIMULACAO G14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</si>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</sst>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2" t="s">
        <v>155</v>
      </c>
    </row>
    <row r="41" customFormat="false" ht="15" hidden="false" customHeight="false" outlineLevel="0" collapsed="false">
      <c r="B41" s="4" t="s">
        <v>156</v>
      </c>
      <c r="C41" s="16" t="n">
        <v>12.9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16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80</v>
      </c>
      <c r="D43" s="2" t="s">
        <v>163</v>
      </c>
      <c r="E43" s="2" t="s">
        <v>155</v>
      </c>
    </row>
    <row r="44" customFormat="false" ht="15" hidden="false" customHeight="false" outlineLevel="0" collapsed="false">
      <c r="B44" s="4" t="s">
        <v>164</v>
      </c>
      <c r="C44" s="11" t="n">
        <v>26</v>
      </c>
      <c r="D44" s="2" t="s">
        <v>165</v>
      </c>
      <c r="E44" s="10" t="s">
        <v>166</v>
      </c>
    </row>
    <row r="45" customFormat="false" ht="15" hidden="false" customHeight="false" outlineLevel="0" collapsed="false">
      <c r="B45" s="4" t="s">
        <v>167</v>
      </c>
      <c r="C45" s="14" t="n">
        <v>0.86</v>
      </c>
      <c r="D45" s="2"/>
      <c r="E45" s="2" t="s">
        <v>168</v>
      </c>
    </row>
    <row r="46" customFormat="false" ht="15" hidden="false" customHeight="false" outlineLevel="0" collapsed="false">
      <c r="B46" s="4" t="s">
        <v>169</v>
      </c>
      <c r="C46" s="16" t="n">
        <v>3.3</v>
      </c>
      <c r="D46" s="2" t="s">
        <v>170</v>
      </c>
      <c r="E46" s="10" t="s">
        <v>171</v>
      </c>
    </row>
    <row r="47" customFormat="false" ht="15" hidden="false" customHeight="false" outlineLevel="0" collapsed="false">
      <c r="B47" s="4" t="s">
        <v>172</v>
      </c>
      <c r="C47" s="9" t="s">
        <v>173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  <row r="49" customFormat="false" ht="15" hidden="false" customHeight="false" outlineLevel="0" collapsed="false">
      <c r="B49" s="4" t="s">
        <v>177</v>
      </c>
      <c r="C49" s="14" t="n">
        <v>0.25</v>
      </c>
      <c r="D49" s="2"/>
      <c r="E49" s="2" t="s">
        <v>178</v>
      </c>
    </row>
    <row r="51" customFormat="false" ht="15" hidden="false" customHeight="false" outlineLevel="0" collapsed="false">
      <c r="B51" s="7" t="s">
        <v>179</v>
      </c>
      <c r="C51" s="8"/>
      <c r="D51" s="8"/>
      <c r="E51" s="8"/>
    </row>
    <row r="52" customFormat="false" ht="15" hidden="false" customHeight="false" outlineLevel="0" collapsed="false">
      <c r="B52" s="4" t="s">
        <v>180</v>
      </c>
      <c r="C52" s="12" t="n">
        <f aca="false">CONTA!C77*30.4</f>
        <v>351.82709306637</v>
      </c>
      <c r="D52" s="2" t="s">
        <v>108</v>
      </c>
      <c r="E52" s="2" t="s">
        <v>181</v>
      </c>
    </row>
    <row r="53" customFormat="false" ht="15" hidden="false" customHeight="false" outlineLevel="0" collapsed="false">
      <c r="B53" s="4" t="s">
        <v>182</v>
      </c>
      <c r="C53" s="12" t="n">
        <f aca="false">CONTA!C78*30.4</f>
        <v>467.640097526994</v>
      </c>
      <c r="D53" s="2" t="s">
        <v>108</v>
      </c>
      <c r="E53" s="2" t="s">
        <v>183</v>
      </c>
    </row>
    <row r="54" customFormat="false" ht="15" hidden="false" customHeight="false" outlineLevel="0" collapsed="false">
      <c r="B54" s="4" t="s">
        <v>184</v>
      </c>
      <c r="C54" s="13" t="n">
        <v>900</v>
      </c>
      <c r="D54" s="2" t="s">
        <v>185</v>
      </c>
      <c r="E54" s="1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B4" s="7" t="s">
        <v>189</v>
      </c>
      <c r="C4" s="8"/>
      <c r="D4" s="8"/>
      <c r="E4" s="8"/>
      <c r="G4" s="7" t="s">
        <v>190</v>
      </c>
      <c r="H4" s="8"/>
      <c r="I4" s="8"/>
    </row>
    <row r="5" customFormat="false" ht="15" hidden="false" customHeight="false" outlineLevel="0" collapsed="false">
      <c r="B5" s="17" t="s">
        <v>191</v>
      </c>
      <c r="C5" s="17" t="s">
        <v>192</v>
      </c>
      <c r="D5" s="17" t="s">
        <v>193</v>
      </c>
      <c r="E5" s="17" t="s">
        <v>194</v>
      </c>
      <c r="G5" s="4" t="s">
        <v>195</v>
      </c>
      <c r="H5" s="13" t="n">
        <v>322.07</v>
      </c>
      <c r="I5" s="2" t="s">
        <v>196</v>
      </c>
    </row>
    <row r="6" customFormat="false" ht="15" hidden="false" customHeight="false" outlineLevel="0" collapsed="false">
      <c r="B6" s="18" t="s">
        <v>197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198</v>
      </c>
      <c r="H6" s="13" t="n">
        <v>216.46</v>
      </c>
      <c r="I6" s="2" t="s">
        <v>199</v>
      </c>
    </row>
    <row r="7" customFormat="false" ht="15" hidden="false" customHeight="false" outlineLevel="0" collapsed="false">
      <c r="B7" s="18" t="s">
        <v>200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201</v>
      </c>
      <c r="H7" s="13" t="n">
        <v>13.06</v>
      </c>
      <c r="I7" s="2" t="s">
        <v>202</v>
      </c>
    </row>
    <row r="8" customFormat="false" ht="15" hidden="false" customHeight="false" outlineLevel="0" collapsed="false">
      <c r="B8" s="18" t="s">
        <v>203</v>
      </c>
      <c r="C8" s="20" t="n">
        <v>290</v>
      </c>
      <c r="D8" s="11" t="n">
        <v>29</v>
      </c>
      <c r="E8" s="19" t="n">
        <f aca="false">IFERROR(C8/D8,0)</f>
        <v>10</v>
      </c>
      <c r="G8" s="21" t="s">
        <v>204</v>
      </c>
      <c r="H8" s="22" t="n">
        <v>551.59</v>
      </c>
      <c r="I8" s="2" t="s">
        <v>205</v>
      </c>
    </row>
    <row r="9" customFormat="false" ht="15" hidden="false" customHeight="false" outlineLevel="0" collapsed="false">
      <c r="B9" s="18" t="s">
        <v>206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207</v>
      </c>
      <c r="H9" s="13" t="n">
        <v>21.11</v>
      </c>
      <c r="I9" s="2" t="s">
        <v>208</v>
      </c>
    </row>
    <row r="10" customFormat="false" ht="15" hidden="false" customHeight="false" outlineLevel="0" collapsed="false">
      <c r="B10" s="18" t="s">
        <v>209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210</v>
      </c>
      <c r="H10" s="22" t="n">
        <v>572.7</v>
      </c>
      <c r="I10" s="2" t="s">
        <v>211</v>
      </c>
    </row>
    <row r="11" customFormat="false" ht="15" hidden="false" customHeight="false" outlineLevel="0" collapsed="false">
      <c r="B11" s="18" t="s">
        <v>212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213</v>
      </c>
      <c r="H11" s="23" t="n">
        <f aca="false">IFERROR(H8/540,0)</f>
        <v>1.02146296296296</v>
      </c>
      <c r="I11" s="2" t="s">
        <v>214</v>
      </c>
    </row>
    <row r="12" customFormat="false" ht="15" hidden="false" customHeight="false" outlineLevel="0" collapsed="false">
      <c r="B12" s="18" t="s">
        <v>215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216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217</v>
      </c>
    </row>
    <row r="14" customFormat="false" ht="15" hidden="false" customHeight="false" outlineLevel="0" collapsed="false">
      <c r="B14" s="18" t="s">
        <v>218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219</v>
      </c>
      <c r="H14" s="13" t="n">
        <v>4.14</v>
      </c>
      <c r="I14" s="2" t="s">
        <v>220</v>
      </c>
    </row>
    <row r="15" customFormat="false" ht="15" hidden="false" customHeight="false" outlineLevel="0" collapsed="false">
      <c r="B15" s="18" t="s">
        <v>221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222</v>
      </c>
      <c r="H15" s="13" t="n">
        <v>19.12</v>
      </c>
      <c r="I15" s="2" t="s">
        <v>220</v>
      </c>
    </row>
    <row r="16" customFormat="false" ht="15" hidden="false" customHeight="false" outlineLevel="0" collapsed="false">
      <c r="B16" s="18" t="s">
        <v>223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224</v>
      </c>
      <c r="H16" s="13" t="n">
        <v>99.28</v>
      </c>
      <c r="I16" s="2" t="s">
        <v>225</v>
      </c>
    </row>
    <row r="17" customFormat="false" ht="15" hidden="false" customHeight="false" outlineLevel="0" collapsed="false">
      <c r="B17" s="18" t="s">
        <v>226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227</v>
      </c>
      <c r="H17" s="22" t="n">
        <v>122.54</v>
      </c>
      <c r="I17" s="2" t="s">
        <v>228</v>
      </c>
    </row>
    <row r="18" customFormat="false" ht="15" hidden="false" customHeight="false" outlineLevel="0" collapsed="false">
      <c r="B18" s="18" t="s">
        <v>229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230</v>
      </c>
      <c r="G19" s="3" t="s">
        <v>231</v>
      </c>
    </row>
    <row r="20" customFormat="false" ht="15" hidden="false" customHeight="false" outlineLevel="0" collapsed="false">
      <c r="G20" s="4" t="s">
        <v>83</v>
      </c>
      <c r="H20" s="25" t="s">
        <v>232</v>
      </c>
    </row>
    <row r="21" customFormat="false" ht="15" hidden="false" customHeight="false" outlineLevel="0" collapsed="false">
      <c r="B21" s="7" t="s">
        <v>233</v>
      </c>
      <c r="C21" s="8"/>
      <c r="D21" s="8"/>
      <c r="E21" s="8"/>
      <c r="G21" s="4" t="s">
        <v>234</v>
      </c>
      <c r="H21" s="25" t="s">
        <v>235</v>
      </c>
    </row>
    <row r="22" customFormat="false" ht="15" hidden="false" customHeight="false" outlineLevel="0" collapsed="false">
      <c r="B22" s="21" t="s">
        <v>236</v>
      </c>
      <c r="C22" s="26" t="n">
        <f aca="false">SUM(C7:C18)</f>
        <v>4576</v>
      </c>
      <c r="D22" s="2" t="s">
        <v>237</v>
      </c>
      <c r="G22" s="4" t="s">
        <v>238</v>
      </c>
      <c r="H22" s="25" t="s">
        <v>239</v>
      </c>
    </row>
    <row r="23" customFormat="false" ht="15" hidden="false" customHeight="false" outlineLevel="0" collapsed="false">
      <c r="B23" s="4" t="s">
        <v>240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241</v>
      </c>
    </row>
    <row r="24" customFormat="false" ht="15" hidden="false" customHeight="false" outlineLevel="0" collapsed="false">
      <c r="B24" s="4" t="s">
        <v>242</v>
      </c>
      <c r="C24" s="12" t="n">
        <f aca="false">SUM(D7:D18)</f>
        <v>366</v>
      </c>
      <c r="D24" s="2" t="s">
        <v>243</v>
      </c>
      <c r="G24" s="4" t="s">
        <v>244</v>
      </c>
      <c r="H24" s="28" t="s">
        <v>245</v>
      </c>
    </row>
    <row r="25" customFormat="false" ht="15" hidden="false" customHeight="false" outlineLevel="0" collapsed="false">
      <c r="B25" s="4" t="s">
        <v>246</v>
      </c>
      <c r="C25" s="29" t="n">
        <f aca="false">IFERROR(C22/C24,0)</f>
        <v>12.5027322404372</v>
      </c>
      <c r="D25" s="2" t="s">
        <v>247</v>
      </c>
      <c r="G25" s="4" t="s">
        <v>248</v>
      </c>
      <c r="H25" s="28" t="s">
        <v>249</v>
      </c>
    </row>
    <row r="26" customFormat="false" ht="15" hidden="false" customHeight="false" outlineLevel="0" collapsed="false">
      <c r="B26" s="4" t="s">
        <v>250</v>
      </c>
      <c r="C26" s="12" t="n">
        <f aca="false">MAX(C7:C18)</f>
        <v>540</v>
      </c>
      <c r="D26" s="2" t="s">
        <v>157</v>
      </c>
      <c r="G26" s="4" t="s">
        <v>251</v>
      </c>
      <c r="H26" s="25" t="s">
        <v>252</v>
      </c>
    </row>
    <row r="27" customFormat="false" ht="15" hidden="false" customHeight="false" outlineLevel="0" collapsed="false">
      <c r="B27" s="4" t="s">
        <v>253</v>
      </c>
      <c r="C27" s="12" t="n">
        <f aca="false">MIN(C7:C18)</f>
        <v>290</v>
      </c>
      <c r="D27" s="2" t="s">
        <v>157</v>
      </c>
      <c r="G27" s="4" t="s">
        <v>254</v>
      </c>
      <c r="H27" s="25" t="s">
        <v>255</v>
      </c>
    </row>
    <row r="28" customFormat="false" ht="15" hidden="false" customHeight="false" outlineLevel="0" collapsed="false">
      <c r="B28" s="4" t="s">
        <v>256</v>
      </c>
      <c r="C28" s="30" t="n">
        <f aca="false">IFERROR(C26/C27-1,0)</f>
        <v>0.862068965517241</v>
      </c>
      <c r="D28" s="2"/>
      <c r="G28" s="4" t="s">
        <v>257</v>
      </c>
      <c r="H28" s="25" t="s">
        <v>258</v>
      </c>
    </row>
    <row r="29" customFormat="false" ht="15" hidden="false" customHeight="false" outlineLevel="0" collapsed="false">
      <c r="B29" s="4" t="s">
        <v>259</v>
      </c>
      <c r="C29" s="12" t="n">
        <f aca="false">C18</f>
        <v>540</v>
      </c>
      <c r="D29" s="2" t="s">
        <v>157</v>
      </c>
      <c r="G29" s="4" t="s">
        <v>260</v>
      </c>
      <c r="H29" s="25" t="s">
        <v>261</v>
      </c>
    </row>
    <row r="30" customFormat="false" ht="15" hidden="false" customHeight="false" outlineLevel="0" collapsed="false">
      <c r="B30" s="4" t="s">
        <v>262</v>
      </c>
      <c r="C30" s="30" t="n">
        <f aca="false">IFERROR(C29/C23-1,0)</f>
        <v>0.416083916083916</v>
      </c>
      <c r="D30" s="2"/>
      <c r="G30" s="4" t="s">
        <v>263</v>
      </c>
      <c r="H30" s="25" t="s">
        <v>264</v>
      </c>
    </row>
    <row r="31" customFormat="false" ht="15" hidden="false" customHeight="false" outlineLevel="0" collapsed="false">
      <c r="B31" s="4" t="s">
        <v>265</v>
      </c>
      <c r="C31" s="29" t="n">
        <f aca="false">AVERAGE(C7:C12)</f>
        <v>343.5</v>
      </c>
      <c r="D31" s="2" t="s">
        <v>108</v>
      </c>
      <c r="G31" s="4" t="s">
        <v>266</v>
      </c>
      <c r="H31" s="25" t="s">
        <v>267</v>
      </c>
    </row>
    <row r="32" customFormat="false" ht="15" hidden="false" customHeight="false" outlineLevel="0" collapsed="false">
      <c r="B32" s="4" t="s">
        <v>268</v>
      </c>
      <c r="C32" s="29" t="n">
        <f aca="false">AVERAGE(C13:C18)</f>
        <v>419.166666666667</v>
      </c>
      <c r="D32" s="2" t="s">
        <v>108</v>
      </c>
      <c r="G32" s="4" t="s">
        <v>269</v>
      </c>
      <c r="H32" s="25" t="s">
        <v>270</v>
      </c>
    </row>
    <row r="33" customFormat="false" ht="15" hidden="false" customHeight="false" outlineLevel="0" collapsed="false">
      <c r="B33" s="4" t="s">
        <v>271</v>
      </c>
      <c r="C33" s="31" t="n">
        <f aca="false">IFERROR(C32/C31-1,0)</f>
        <v>0.220281416787967</v>
      </c>
      <c r="D33" s="2" t="s">
        <v>272</v>
      </c>
      <c r="G33" s="4" t="s">
        <v>273</v>
      </c>
      <c r="H33" s="25" t="s">
        <v>274</v>
      </c>
    </row>
    <row r="34" customFormat="false" ht="15" hidden="false" customHeight="false" outlineLevel="0" collapsed="false">
      <c r="B34" s="4" t="s">
        <v>275</v>
      </c>
      <c r="C34" s="31" t="n">
        <f aca="false">IFERROR(C18/C6-1,0)</f>
        <v>0.388174807197943</v>
      </c>
      <c r="D34" s="2" t="s">
        <v>276</v>
      </c>
    </row>
    <row r="36" customFormat="false" ht="15" hidden="false" customHeight="false" outlineLevel="0" collapsed="false">
      <c r="B36" s="7" t="s">
        <v>277</v>
      </c>
      <c r="C36" s="8"/>
      <c r="D36" s="8"/>
      <c r="E36" s="8"/>
    </row>
    <row r="37" customFormat="false" ht="15" hidden="false" customHeight="false" outlineLevel="0" collapsed="false">
      <c r="B37" s="17" t="s">
        <v>278</v>
      </c>
      <c r="C37" s="17" t="s">
        <v>192</v>
      </c>
      <c r="D37" s="17" t="s">
        <v>279</v>
      </c>
    </row>
    <row r="38" customFormat="false" ht="15" hidden="false" customHeight="false" outlineLevel="0" collapsed="false">
      <c r="B38" s="18" t="s">
        <v>280</v>
      </c>
      <c r="C38" s="32" t="n">
        <f aca="false">C12</f>
        <v>372</v>
      </c>
      <c r="D38" s="33" t="s">
        <v>215</v>
      </c>
    </row>
    <row r="39" customFormat="false" ht="15" hidden="false" customHeight="false" outlineLevel="0" collapsed="false">
      <c r="B39" s="18" t="s">
        <v>281</v>
      </c>
      <c r="C39" s="32" t="n">
        <f aca="false">C13</f>
        <v>348</v>
      </c>
      <c r="D39" s="33" t="s">
        <v>216</v>
      </c>
    </row>
    <row r="40" customFormat="false" ht="15" hidden="false" customHeight="false" outlineLevel="0" collapsed="false">
      <c r="B40" s="18" t="s">
        <v>282</v>
      </c>
      <c r="C40" s="32" t="n">
        <f aca="false">C14</f>
        <v>354</v>
      </c>
      <c r="D40" s="33" t="s">
        <v>218</v>
      </c>
    </row>
    <row r="41" customFormat="false" ht="15" hidden="false" customHeight="false" outlineLevel="0" collapsed="false">
      <c r="B41" s="18" t="s">
        <v>283</v>
      </c>
      <c r="C41" s="32" t="n">
        <f aca="false">C15</f>
        <v>394</v>
      </c>
      <c r="D41" s="33" t="s">
        <v>221</v>
      </c>
    </row>
    <row r="42" customFormat="false" ht="15" hidden="false" customHeight="false" outlineLevel="0" collapsed="false">
      <c r="B42" s="18" t="s">
        <v>284</v>
      </c>
      <c r="C42" s="32" t="n">
        <f aca="false">C16</f>
        <v>457</v>
      </c>
      <c r="D42" s="33" t="s">
        <v>223</v>
      </c>
    </row>
    <row r="43" customFormat="false" ht="15" hidden="false" customHeight="false" outlineLevel="0" collapsed="false">
      <c r="B43" s="18" t="s">
        <v>285</v>
      </c>
      <c r="C43" s="32" t="n">
        <f aca="false">C17</f>
        <v>422</v>
      </c>
      <c r="D43" s="33" t="s">
        <v>226</v>
      </c>
    </row>
    <row r="44" customFormat="false" ht="15" hidden="false" customHeight="false" outlineLevel="0" collapsed="false">
      <c r="B44" s="18" t="s">
        <v>286</v>
      </c>
      <c r="C44" s="32" t="n">
        <f aca="false">C18</f>
        <v>540</v>
      </c>
      <c r="D44" s="33" t="s">
        <v>229</v>
      </c>
    </row>
    <row r="45" customFormat="false" ht="15" hidden="false" customHeight="false" outlineLevel="0" collapsed="false">
      <c r="B45" s="18" t="s">
        <v>287</v>
      </c>
      <c r="C45" s="32" t="n">
        <f aca="false">C7</f>
        <v>364</v>
      </c>
      <c r="D45" s="33" t="s">
        <v>200</v>
      </c>
    </row>
    <row r="46" customFormat="false" ht="15" hidden="false" customHeight="false" outlineLevel="0" collapsed="false">
      <c r="B46" s="18" t="s">
        <v>288</v>
      </c>
      <c r="C46" s="32" t="n">
        <f aca="false">C8</f>
        <v>290</v>
      </c>
      <c r="D46" s="33" t="s">
        <v>203</v>
      </c>
    </row>
    <row r="47" customFormat="false" ht="15" hidden="false" customHeight="false" outlineLevel="0" collapsed="false">
      <c r="B47" s="18" t="s">
        <v>289</v>
      </c>
      <c r="C47" s="32" t="n">
        <f aca="false">C9</f>
        <v>375</v>
      </c>
      <c r="D47" s="33" t="s">
        <v>206</v>
      </c>
    </row>
    <row r="48" customFormat="false" ht="15" hidden="false" customHeight="false" outlineLevel="0" collapsed="false">
      <c r="B48" s="18" t="s">
        <v>290</v>
      </c>
      <c r="C48" s="32" t="n">
        <f aca="false">C10</f>
        <v>337</v>
      </c>
      <c r="D48" s="33" t="s">
        <v>209</v>
      </c>
    </row>
    <row r="49" customFormat="false" ht="15" hidden="false" customHeight="false" outlineLevel="0" collapsed="false">
      <c r="B49" s="18" t="s">
        <v>291</v>
      </c>
      <c r="C49" s="32" t="n">
        <f aca="false">C11</f>
        <v>323</v>
      </c>
      <c r="D49" s="33" t="s">
        <v>212</v>
      </c>
    </row>
    <row r="50" customFormat="false" ht="15" hidden="false" customHeight="false" outlineLevel="0" collapsed="false">
      <c r="B50" s="21" t="s">
        <v>292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293</v>
      </c>
      <c r="C52" s="8"/>
      <c r="D52" s="8"/>
      <c r="E52" s="8"/>
    </row>
    <row r="53" customFormat="false" ht="15" hidden="false" customHeight="false" outlineLevel="0" collapsed="false">
      <c r="B53" s="21" t="s">
        <v>294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295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296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297</v>
      </c>
    </row>
    <row r="58" customFormat="false" ht="15" hidden="false" customHeight="false" outlineLevel="0" collapsed="false">
      <c r="B58" s="4" t="s">
        <v>298</v>
      </c>
    </row>
    <row r="59" customFormat="false" ht="15" hidden="false" customHeight="false" outlineLevel="0" collapsed="false">
      <c r="B59" s="3" t="s">
        <v>299</v>
      </c>
    </row>
    <row r="60" customFormat="false" ht="15" hidden="false" customHeight="false" outlineLevel="0" collapsed="false">
      <c r="B60" s="4" t="s">
        <v>300</v>
      </c>
    </row>
    <row r="61" customFormat="false" ht="15" hidden="false" customHeight="false" outlineLevel="0" collapsed="false">
      <c r="B61" s="4" t="s">
        <v>301</v>
      </c>
    </row>
    <row r="62" customFormat="false" ht="15" hidden="false" customHeight="false" outlineLevel="0" collapsed="false">
      <c r="B62" s="4" t="s">
        <v>302</v>
      </c>
    </row>
    <row r="63" customFormat="false" ht="15" hidden="false" customHeight="false" outlineLevel="0" collapsed="false">
      <c r="B63" s="5" t="s">
        <v>303</v>
      </c>
    </row>
    <row r="64" customFormat="false" ht="15" hidden="false" customHeight="false" outlineLevel="0" collapsed="false">
      <c r="B64" s="4" t="s">
        <v>304</v>
      </c>
    </row>
    <row r="65" customFormat="false" ht="15" hidden="false" customHeight="false" outlineLevel="0" collapsed="false">
      <c r="B65" s="4" t="s">
        <v>305</v>
      </c>
    </row>
    <row r="66" customFormat="false" ht="15" hidden="false" customHeight="false" outlineLevel="0" collapsed="false">
      <c r="B66" s="5" t="s">
        <v>306</v>
      </c>
    </row>
    <row r="67" customFormat="false" ht="15" hidden="false" customHeight="false" outlineLevel="0" collapsed="false">
      <c r="B67" s="4" t="s">
        <v>307</v>
      </c>
    </row>
    <row r="68" customFormat="false" ht="15" hidden="false" customHeight="false" outlineLevel="0" collapsed="false">
      <c r="B68" s="4" t="s">
        <v>308</v>
      </c>
    </row>
    <row r="69" customFormat="false" ht="15" hidden="false" customHeight="false" outlineLevel="0" collapsed="false">
      <c r="B69" s="4" t="s">
        <v>309</v>
      </c>
    </row>
    <row r="70" customFormat="false" ht="15" hidden="false" customHeight="false" outlineLevel="0" collapsed="false">
      <c r="B70" s="4" t="s">
        <v>310</v>
      </c>
    </row>
    <row r="71" customFormat="false" ht="15" hidden="false" customHeight="false" outlineLevel="0" collapsed="false">
      <c r="B71" s="4" t="s">
        <v>311</v>
      </c>
    </row>
    <row r="72" customFormat="false" ht="15" hidden="false" customHeight="false" outlineLevel="0" collapsed="false">
      <c r="B72" s="4" t="s">
        <v>312</v>
      </c>
    </row>
    <row r="76" customFormat="false" ht="15" hidden="false" customHeight="false" outlineLevel="0" collapsed="false">
      <c r="B76" s="7" t="s">
        <v>313</v>
      </c>
      <c r="C76" s="8"/>
      <c r="D76" s="8"/>
      <c r="E76" s="8"/>
    </row>
    <row r="77" customFormat="false" ht="15" hidden="false" customHeight="false" outlineLevel="0" collapsed="false">
      <c r="B77" s="4" t="s">
        <v>314</v>
      </c>
      <c r="C77" s="29" t="n">
        <f aca="false">AVERAGE(E6:E15)</f>
        <v>11.5732596403411</v>
      </c>
      <c r="D77" s="2" t="s">
        <v>247</v>
      </c>
      <c r="E77" s="2" t="s">
        <v>315</v>
      </c>
    </row>
    <row r="78" customFormat="false" ht="15" hidden="false" customHeight="false" outlineLevel="0" collapsed="false">
      <c r="B78" s="4" t="s">
        <v>316</v>
      </c>
      <c r="C78" s="29" t="n">
        <f aca="false">AVERAGE(E16:E18)</f>
        <v>15.3828979449669</v>
      </c>
      <c r="D78" s="2" t="s">
        <v>247</v>
      </c>
      <c r="E78" s="2" t="s">
        <v>317</v>
      </c>
    </row>
    <row r="79" customFormat="false" ht="15" hidden="false" customHeight="false" outlineLevel="0" collapsed="false">
      <c r="B79" s="21" t="s">
        <v>318</v>
      </c>
      <c r="C79" s="36" t="n">
        <f aca="false">C78-C77</f>
        <v>3.80963830462579</v>
      </c>
      <c r="D79" s="2" t="s">
        <v>247</v>
      </c>
      <c r="E79" s="2" t="s">
        <v>319</v>
      </c>
    </row>
    <row r="80" customFormat="false" ht="15" hidden="false" customHeight="false" outlineLevel="0" collapsed="false">
      <c r="B80" s="21" t="s">
        <v>320</v>
      </c>
      <c r="C80" s="37" t="n">
        <f aca="false">C79*30.4</f>
        <v>115.813004460624</v>
      </c>
      <c r="D80" s="2" t="s">
        <v>108</v>
      </c>
      <c r="E80" s="2" t="s">
        <v>321</v>
      </c>
    </row>
    <row r="81" customFormat="false" ht="15" hidden="false" customHeight="false" outlineLevel="0" collapsed="false">
      <c r="B81" s="4" t="s">
        <v>322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323</v>
      </c>
      <c r="C82" s="29" t="n">
        <f aca="false">E6</f>
        <v>12.15625</v>
      </c>
      <c r="D82" s="2" t="s">
        <v>247</v>
      </c>
      <c r="E82" s="2" t="s">
        <v>324</v>
      </c>
    </row>
    <row r="83" customFormat="false" ht="15" hidden="false" customHeight="false" outlineLevel="0" collapsed="false">
      <c r="B83" s="4" t="s">
        <v>325</v>
      </c>
      <c r="C83" s="29" t="n">
        <f aca="false">E18</f>
        <v>16.3636363636364</v>
      </c>
      <c r="D83" s="2" t="s">
        <v>247</v>
      </c>
      <c r="E83" s="2" t="s">
        <v>326</v>
      </c>
    </row>
    <row r="84" customFormat="false" ht="15" hidden="false" customHeight="false" outlineLevel="0" collapsed="false">
      <c r="B84" s="4" t="s">
        <v>327</v>
      </c>
      <c r="C84" s="29" t="n">
        <f aca="false">C83-C82</f>
        <v>4.20738636363636</v>
      </c>
      <c r="D84" s="2" t="s">
        <v>247</v>
      </c>
      <c r="E84" s="2" t="s">
        <v>328</v>
      </c>
    </row>
    <row r="85" customFormat="false" ht="15" hidden="false" customHeight="false" outlineLevel="0" collapsed="false">
      <c r="B85" s="4" t="s">
        <v>329</v>
      </c>
      <c r="C85" s="12" t="n">
        <f aca="false">C84*30.4</f>
        <v>127.904545454545</v>
      </c>
      <c r="D85" s="2" t="s">
        <v>108</v>
      </c>
      <c r="E85" s="2" t="s">
        <v>330</v>
      </c>
    </row>
    <row r="86" customFormat="false" ht="15" hidden="false" customHeight="false" outlineLevel="0" collapsed="false">
      <c r="B86" s="4" t="s">
        <v>331</v>
      </c>
      <c r="C86" s="29" t="n">
        <f aca="false">ENTRADAS!C42/100/ENTRADAS!C45</f>
        <v>0.186046511627907</v>
      </c>
      <c r="D86" s="2" t="s">
        <v>332</v>
      </c>
      <c r="E86" s="2" t="s">
        <v>333</v>
      </c>
    </row>
    <row r="87" customFormat="false" ht="15" hidden="false" customHeight="false" outlineLevel="0" collapsed="false">
      <c r="B87" s="21" t="s">
        <v>334</v>
      </c>
      <c r="C87" s="38" t="n">
        <f aca="false">IFERROR(C80/C86,0)</f>
        <v>622.494898975854</v>
      </c>
      <c r="D87" s="2" t="s">
        <v>335</v>
      </c>
      <c r="E87" s="2" t="s">
        <v>336</v>
      </c>
    </row>
    <row r="88" customFormat="false" ht="15" hidden="false" customHeight="false" outlineLevel="0" collapsed="false">
      <c r="B88" s="4" t="s">
        <v>337</v>
      </c>
      <c r="C88" s="12" t="n">
        <f aca="false">IFERROR(C87/30.4,0)</f>
        <v>20.4768058873636</v>
      </c>
      <c r="D88" s="2" t="s">
        <v>163</v>
      </c>
      <c r="E88" s="2"/>
    </row>
    <row r="89" customFormat="false" ht="15" hidden="false" customHeight="false" outlineLevel="0" collapsed="false">
      <c r="B89" s="4" t="s">
        <v>338</v>
      </c>
      <c r="C89" s="12" t="n">
        <f aca="false">IFERROR(C85/C86,0)</f>
        <v>687.486931818182</v>
      </c>
      <c r="D89" s="2" t="s">
        <v>335</v>
      </c>
      <c r="E89" s="2" t="s">
        <v>339</v>
      </c>
    </row>
    <row r="91" customFormat="false" ht="15" hidden="false" customHeight="false" outlineLevel="0" collapsed="false">
      <c r="B91" s="3" t="s">
        <v>340</v>
      </c>
    </row>
    <row r="92" customFormat="false" ht="15" hidden="false" customHeight="false" outlineLevel="0" collapsed="false">
      <c r="B92" s="2" t="s">
        <v>341</v>
      </c>
    </row>
    <row r="93" customFormat="false" ht="15" hidden="false" customHeight="false" outlineLevel="0" collapsed="false">
      <c r="B93" s="2" t="s">
        <v>342</v>
      </c>
    </row>
    <row r="94" customFormat="false" ht="15" hidden="false" customHeight="false" outlineLevel="0" collapsed="false">
      <c r="B94" s="2" t="s">
        <v>343</v>
      </c>
    </row>
    <row r="95" customFormat="false" ht="15" hidden="false" customHeight="false" outlineLevel="0" collapsed="false">
      <c r="B95" s="2" t="s">
        <v>344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345</v>
      </c>
    </row>
    <row r="98" customFormat="false" ht="15" hidden="false" customHeight="false" outlineLevel="0" collapsed="false">
      <c r="B98" s="2" t="s">
        <v>346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347</v>
      </c>
    </row>
    <row r="101" customFormat="false" ht="15" hidden="false" customHeight="false" outlineLevel="0" collapsed="false">
      <c r="B101" s="2" t="s">
        <v>348</v>
      </c>
    </row>
    <row r="102" customFormat="false" ht="15" hidden="false" customHeight="false" outlineLevel="0" collapsed="false">
      <c r="B102" s="2" t="s">
        <v>349</v>
      </c>
    </row>
    <row r="103" customFormat="false" ht="15" hidden="false" customHeight="false" outlineLevel="0" collapsed="false">
      <c r="B103" s="2" t="s">
        <v>350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351</v>
      </c>
    </row>
    <row r="106" customFormat="false" ht="15" hidden="false" customHeight="false" outlineLevel="0" collapsed="false">
      <c r="B106" s="2" t="s">
        <v>352</v>
      </c>
    </row>
    <row r="107" customFormat="false" ht="15" hidden="false" customHeight="false" outlineLevel="0" collapsed="false">
      <c r="B107" s="2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354</v>
      </c>
    </row>
    <row r="2" customFormat="false" ht="15" hidden="false" customHeight="false" outlineLevel="0" collapsed="false">
      <c r="A2" s="2" t="s">
        <v>355</v>
      </c>
    </row>
    <row r="4" customFormat="false" ht="42" hidden="false" customHeight="true" outlineLevel="0" collapsed="false">
      <c r="B4" s="17" t="s">
        <v>278</v>
      </c>
      <c r="C4" s="17" t="s">
        <v>193</v>
      </c>
      <c r="D4" s="17" t="s">
        <v>356</v>
      </c>
      <c r="E4" s="17" t="s">
        <v>357</v>
      </c>
      <c r="F4" s="17" t="s">
        <v>358</v>
      </c>
      <c r="G4" s="17" t="s">
        <v>359</v>
      </c>
      <c r="H4" s="17" t="s">
        <v>360</v>
      </c>
      <c r="I4" s="17" t="s">
        <v>361</v>
      </c>
      <c r="J4" s="17" t="s">
        <v>362</v>
      </c>
      <c r="K4" s="17" t="s">
        <v>363</v>
      </c>
    </row>
    <row r="5" customFormat="false" ht="15" hidden="false" customHeight="false" outlineLevel="0" collapsed="false">
      <c r="B5" s="18" t="s">
        <v>280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281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282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283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284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285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286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287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288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289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290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291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364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365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366</v>
      </c>
    </row>
    <row r="21" customFormat="false" ht="15" hidden="false" customHeight="false" outlineLevel="0" collapsed="false">
      <c r="B21" s="2" t="s">
        <v>367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368</v>
      </c>
    </row>
    <row r="24" customFormat="false" ht="15" hidden="false" customHeight="false" outlineLevel="0" collapsed="false">
      <c r="B24" s="2" t="s">
        <v>369</v>
      </c>
    </row>
    <row r="25" customFormat="false" ht="15" hidden="false" customHeight="false" outlineLevel="0" collapsed="false">
      <c r="B25" s="2" t="s">
        <v>370</v>
      </c>
    </row>
    <row r="26" customFormat="false" ht="15" hidden="false" customHeight="false" outlineLevel="0" collapsed="false">
      <c r="B26" s="2" t="s">
        <v>371</v>
      </c>
    </row>
    <row r="27" customFormat="false" ht="15" hidden="false" customHeight="false" outlineLevel="0" collapsed="false">
      <c r="B27" s="2" t="s">
        <v>372</v>
      </c>
    </row>
    <row r="28" customFormat="false" ht="15" hidden="false" customHeight="false" outlineLevel="0" collapsed="false">
      <c r="B28" s="2" t="s">
        <v>373</v>
      </c>
    </row>
    <row r="29" customFormat="false" ht="15" hidden="false" customHeight="false" outlineLevel="0" collapsed="false">
      <c r="B29" s="2" t="s">
        <v>374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375</v>
      </c>
    </row>
    <row r="32" customFormat="false" ht="15" hidden="false" customHeight="false" outlineLevel="0" collapsed="false">
      <c r="B32" s="2" t="s">
        <v>376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377</v>
      </c>
    </row>
    <row r="35" customFormat="false" ht="15" hidden="false" customHeight="false" outlineLevel="0" collapsed="false">
      <c r="B35" s="2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379</v>
      </c>
    </row>
    <row r="2" customFormat="false" ht="15" hidden="false" customHeight="false" outlineLevel="0" collapsed="false">
      <c r="A2" s="2" t="s">
        <v>380</v>
      </c>
    </row>
    <row r="4" customFormat="false" ht="15" hidden="false" customHeight="false" outlineLevel="0" collapsed="false">
      <c r="B4" s="7" t="s">
        <v>381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382</v>
      </c>
      <c r="C5" s="46" t="n">
        <f aca="false">ENTRADAS!C43</f>
        <v>80</v>
      </c>
      <c r="D5" s="2" t="s">
        <v>163</v>
      </c>
      <c r="H5" s="2" t="s">
        <v>383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16</v>
      </c>
      <c r="D6" s="2" t="s">
        <v>160</v>
      </c>
      <c r="H6" s="2" t="s">
        <v>384</v>
      </c>
    </row>
    <row r="7" customFormat="false" ht="15" hidden="false" customHeight="false" outlineLevel="0" collapsed="false">
      <c r="B7" s="4" t="s">
        <v>385</v>
      </c>
      <c r="C7" s="29" t="n">
        <f aca="false">C5*C6/100</f>
        <v>12.8</v>
      </c>
      <c r="D7" s="2" t="s">
        <v>247</v>
      </c>
      <c r="H7" s="2" t="s">
        <v>386</v>
      </c>
    </row>
    <row r="8" customFormat="false" ht="15" hidden="false" customHeight="false" outlineLevel="0" collapsed="false">
      <c r="B8" s="4" t="s">
        <v>164</v>
      </c>
      <c r="C8" s="46" t="n">
        <f aca="false">ENTRADAS!C44</f>
        <v>26</v>
      </c>
      <c r="D8" s="2" t="s">
        <v>165</v>
      </c>
      <c r="H8" s="2" t="s">
        <v>387</v>
      </c>
    </row>
    <row r="9" customFormat="false" ht="15" hidden="false" customHeight="false" outlineLevel="0" collapsed="false">
      <c r="B9" s="21" t="s">
        <v>388</v>
      </c>
      <c r="C9" s="48" t="n">
        <f aca="false">C7*C8</f>
        <v>332.8</v>
      </c>
      <c r="D9" s="2" t="s">
        <v>108</v>
      </c>
      <c r="H9" s="2" t="s">
        <v>389</v>
      </c>
    </row>
    <row r="11" customFormat="false" ht="15" hidden="false" customHeight="false" outlineLevel="0" collapsed="false">
      <c r="B11" s="7" t="s">
        <v>390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167</v>
      </c>
      <c r="C12" s="49" t="n">
        <f aca="false">ENTRADAS!C45</f>
        <v>0.86</v>
      </c>
      <c r="D12" s="2"/>
      <c r="H12" s="2" t="s">
        <v>391</v>
      </c>
    </row>
    <row r="13" customFormat="false" ht="15" hidden="false" customHeight="false" outlineLevel="0" collapsed="false">
      <c r="B13" s="21" t="s">
        <v>392</v>
      </c>
      <c r="C13" s="48" t="n">
        <f aca="false">C9/C12</f>
        <v>386.976744186047</v>
      </c>
      <c r="D13" s="2" t="s">
        <v>108</v>
      </c>
      <c r="H13" s="2" t="s">
        <v>393</v>
      </c>
    </row>
    <row r="14" customFormat="false" ht="15" hidden="false" customHeight="false" outlineLevel="0" collapsed="false">
      <c r="B14" s="4" t="s">
        <v>394</v>
      </c>
      <c r="C14" s="12" t="n">
        <f aca="false">C13-C9</f>
        <v>54.1767441860465</v>
      </c>
      <c r="D14" s="2" t="s">
        <v>108</v>
      </c>
      <c r="H14" s="2" t="s">
        <v>395</v>
      </c>
    </row>
    <row r="15" customFormat="false" ht="15" hidden="false" customHeight="false" outlineLevel="0" collapsed="false">
      <c r="B15" s="4" t="s">
        <v>396</v>
      </c>
      <c r="C15" s="15" t="n">
        <f aca="false">C13*ENTRADAS!C18</f>
        <v>395.285134883721</v>
      </c>
      <c r="D15" s="2" t="s">
        <v>128</v>
      </c>
      <c r="H15" s="2" t="s">
        <v>397</v>
      </c>
    </row>
    <row r="16" customFormat="false" ht="15" hidden="false" customHeight="false" outlineLevel="0" collapsed="false">
      <c r="B16" s="4" t="s">
        <v>398</v>
      </c>
      <c r="C16" s="15" t="n">
        <f aca="false">C15*12</f>
        <v>4743.42161860465</v>
      </c>
      <c r="D16" s="2" t="s">
        <v>146</v>
      </c>
      <c r="H16" s="2"/>
    </row>
    <row r="17" customFormat="false" ht="15" hidden="false" customHeight="false" outlineLevel="0" collapsed="false">
      <c r="B17" s="4" t="s">
        <v>399</v>
      </c>
      <c r="C17" s="15" t="n">
        <f aca="false">C13*ENTRADAS!C25</f>
        <v>83.0896342325581</v>
      </c>
      <c r="D17" s="2" t="s">
        <v>128</v>
      </c>
      <c r="H17" s="2" t="s">
        <v>400</v>
      </c>
    </row>
    <row r="18" customFormat="false" ht="15" hidden="false" customHeight="false" outlineLevel="0" collapsed="false">
      <c r="B18" s="21" t="s">
        <v>401</v>
      </c>
      <c r="C18" s="50" t="n">
        <f aca="false">C15-C17</f>
        <v>312.195500651163</v>
      </c>
      <c r="D18" s="2" t="s">
        <v>128</v>
      </c>
      <c r="H18" s="2" t="s">
        <v>402</v>
      </c>
    </row>
    <row r="19" customFormat="false" ht="15" hidden="false" customHeight="false" outlineLevel="0" collapsed="false">
      <c r="B19" s="4" t="s">
        <v>403</v>
      </c>
      <c r="C19" s="15" t="n">
        <f aca="false">C18*12</f>
        <v>3746.34600781395</v>
      </c>
      <c r="D19" s="2" t="s">
        <v>146</v>
      </c>
      <c r="H19" s="2"/>
    </row>
    <row r="20" customFormat="false" ht="15" hidden="false" customHeight="false" outlineLevel="0" collapsed="false">
      <c r="B20" s="4" t="s">
        <v>404</v>
      </c>
      <c r="C20" s="15" t="n">
        <f aca="false">IFERROR(C15/(C5*C8),0)</f>
        <v>0.190040930232558</v>
      </c>
      <c r="D20" s="2" t="s">
        <v>405</v>
      </c>
      <c r="H20" s="2" t="s">
        <v>406</v>
      </c>
    </row>
    <row r="21" customFormat="false" ht="15" hidden="false" customHeight="false" outlineLevel="0" collapsed="false">
      <c r="B21" s="4" t="s">
        <v>407</v>
      </c>
      <c r="C21" s="15" t="n">
        <f aca="false">IFERROR(C17/(C5*C8),0)</f>
        <v>0.0399469395348837</v>
      </c>
      <c r="D21" s="2" t="s">
        <v>405</v>
      </c>
      <c r="H21" s="2" t="s">
        <v>408</v>
      </c>
    </row>
    <row r="23" customFormat="false" ht="15" hidden="false" customHeight="false" outlineLevel="0" collapsed="false">
      <c r="B23" s="7" t="s">
        <v>409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410</v>
      </c>
      <c r="C24" s="47" t="n">
        <f aca="false">ENTRADAS!C46</f>
        <v>3.3</v>
      </c>
      <c r="D24" s="2" t="s">
        <v>170</v>
      </c>
      <c r="H24" s="2" t="s">
        <v>411</v>
      </c>
    </row>
    <row r="25" customFormat="false" ht="15" hidden="false" customHeight="false" outlineLevel="0" collapsed="false">
      <c r="B25" s="4" t="s">
        <v>412</v>
      </c>
      <c r="C25" s="29" t="n">
        <f aca="false">IFERROR(C13/C8/C24,0)</f>
        <v>4.51021846370684</v>
      </c>
      <c r="D25" s="2" t="s">
        <v>413</v>
      </c>
      <c r="H25" s="2" t="s">
        <v>414</v>
      </c>
    </row>
    <row r="26" customFormat="false" ht="15" hidden="false" customHeight="false" outlineLevel="0" collapsed="false">
      <c r="B26" s="4" t="s">
        <v>415</v>
      </c>
      <c r="C26" s="29" t="n">
        <f aca="false">IFERROR(ENTRADAS!C41/ENTRADAS!C45/C24,0)</f>
        <v>4.54545454545455</v>
      </c>
      <c r="D26" s="2" t="s">
        <v>416</v>
      </c>
      <c r="H26" s="2" t="s">
        <v>417</v>
      </c>
    </row>
    <row r="27" customFormat="false" ht="15" hidden="false" customHeight="false" outlineLevel="0" collapsed="false">
      <c r="B27" s="4" t="s">
        <v>418</v>
      </c>
      <c r="C27" s="29" t="n">
        <f aca="false">IFERROR(C24*1000/220,0)</f>
        <v>15</v>
      </c>
      <c r="D27" s="2" t="s">
        <v>419</v>
      </c>
      <c r="H27" s="2" t="s">
        <v>420</v>
      </c>
    </row>
    <row r="28" customFormat="false" ht="15" hidden="false" customHeight="false" outlineLevel="0" collapsed="false">
      <c r="B28" s="4" t="s">
        <v>421</v>
      </c>
      <c r="C28" s="29" t="n">
        <f aca="false">IFERROR(C27*1.25,0)</f>
        <v>18.75</v>
      </c>
      <c r="D28" s="2" t="s">
        <v>419</v>
      </c>
      <c r="H28" s="2" t="s">
        <v>422</v>
      </c>
    </row>
    <row r="29" customFormat="false" ht="15" hidden="false" customHeight="false" outlineLevel="0" collapsed="false">
      <c r="B29" s="4" t="s">
        <v>423</v>
      </c>
      <c r="C29" s="29" t="n">
        <f aca="false">C24*1</f>
        <v>3.3</v>
      </c>
      <c r="D29" s="2" t="s">
        <v>157</v>
      </c>
      <c r="H29" s="2" t="s">
        <v>424</v>
      </c>
    </row>
    <row r="31" customFormat="false" ht="15" hidden="false" customHeight="false" outlineLevel="0" collapsed="false">
      <c r="B31" s="7" t="s">
        <v>425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426</v>
      </c>
      <c r="C32" s="17" t="s">
        <v>427</v>
      </c>
      <c r="D32" s="17" t="s">
        <v>428</v>
      </c>
      <c r="E32" s="17" t="s">
        <v>429</v>
      </c>
      <c r="F32" s="17" t="s">
        <v>430</v>
      </c>
      <c r="G32" s="17" t="s">
        <v>431</v>
      </c>
    </row>
    <row r="33" customFormat="false" ht="15" hidden="false" customHeight="false" outlineLevel="0" collapsed="false">
      <c r="B33" s="18" t="s">
        <v>432</v>
      </c>
      <c r="C33" s="32" t="n">
        <f aca="false">ENTRADAS!C52</f>
        <v>351.82709306637</v>
      </c>
      <c r="D33" s="39" t="n">
        <f aca="false">0</f>
        <v>0</v>
      </c>
      <c r="E33" s="39" t="n">
        <f aca="false">0</f>
        <v>0</v>
      </c>
      <c r="F33" s="48" t="n">
        <f aca="false">C33+D33+E33</f>
        <v>351.82709306637</v>
      </c>
      <c r="G33" s="39" t="n">
        <f aca="false">F33*12</f>
        <v>4221.92511679644</v>
      </c>
    </row>
    <row r="34" customFormat="false" ht="15" hidden="false" customHeight="false" outlineLevel="0" collapsed="false">
      <c r="B34" s="18" t="s">
        <v>433</v>
      </c>
      <c r="C34" s="32" t="n">
        <f aca="false">ENTRADAS!C52</f>
        <v>351.82709306637</v>
      </c>
      <c r="D34" s="39" t="n">
        <f aca="false">C13</f>
        <v>386.976744186047</v>
      </c>
      <c r="E34" s="39" t="n">
        <f aca="false">0</f>
        <v>0</v>
      </c>
      <c r="F34" s="48" t="n">
        <f aca="false">C34+D34+E34</f>
        <v>738.803837252417</v>
      </c>
      <c r="G34" s="39" t="n">
        <f aca="false">F34*12</f>
        <v>8865.646047029</v>
      </c>
    </row>
    <row r="35" customFormat="false" ht="15" hidden="false" customHeight="false" outlineLevel="0" collapsed="false">
      <c r="B35" s="51" t="s">
        <v>434</v>
      </c>
      <c r="C35" s="32" t="n">
        <f aca="false">ENTRADAS!C52</f>
        <v>351.82709306637</v>
      </c>
      <c r="D35" s="39" t="n">
        <f aca="false">C13</f>
        <v>386.976744186047</v>
      </c>
      <c r="E35" s="39" t="n">
        <f aca="false">(C35+D35)*ENTRADAS!C48</f>
        <v>110.820575587862</v>
      </c>
      <c r="F35" s="52" t="n">
        <f aca="false">C35+D35+E35</f>
        <v>849.624412840279</v>
      </c>
      <c r="G35" s="39" t="n">
        <f aca="false">F35*12</f>
        <v>10195.4929540833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110.0% - de 352 para 739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(850 kWh/mes) e o que deve orientar o dimensionamento, NAO a media de 352 kWh/mes da conta.</v>
      </c>
    </row>
    <row r="40" customFormat="false" ht="15" hidden="false" customHeight="false" outlineLevel="0" collapsed="false">
      <c r="B40" s="7" t="s">
        <v>435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436</v>
      </c>
      <c r="C41" s="17" t="s">
        <v>437</v>
      </c>
      <c r="D41" s="17" t="s">
        <v>438</v>
      </c>
      <c r="E41" s="17" t="s">
        <v>439</v>
      </c>
      <c r="F41" s="17" t="s">
        <v>440</v>
      </c>
      <c r="G41" s="17" t="s">
        <v>441</v>
      </c>
    </row>
    <row r="42" customFormat="false" ht="57.45" hidden="false" customHeight="false" outlineLevel="0" collapsed="false">
      <c r="B42" s="53" t="s">
        <v>442</v>
      </c>
      <c r="C42" s="54" t="s">
        <v>443</v>
      </c>
      <c r="D42" s="55" t="n">
        <f aca="false">0</f>
        <v>0</v>
      </c>
      <c r="E42" s="56" t="n">
        <f aca="false">0</f>
        <v>0</v>
      </c>
      <c r="F42" s="54" t="s">
        <v>444</v>
      </c>
      <c r="G42" s="54" t="s">
        <v>445</v>
      </c>
    </row>
    <row r="43" customFormat="false" ht="57.45" hidden="false" customHeight="false" outlineLevel="0" collapsed="false">
      <c r="B43" s="53" t="s">
        <v>446</v>
      </c>
      <c r="C43" s="54" t="s">
        <v>447</v>
      </c>
      <c r="D43" s="55" t="n">
        <f aca="false">ENTRADAS!C25</f>
        <v>0.2147148</v>
      </c>
      <c r="E43" s="55" t="n">
        <f aca="false">C13*ENTRADAS!C25</f>
        <v>83.0896342325581</v>
      </c>
      <c r="F43" s="54" t="s">
        <v>448</v>
      </c>
      <c r="G43" s="54" t="s">
        <v>449</v>
      </c>
    </row>
    <row r="44" customFormat="false" ht="15" hidden="false" customHeight="false" outlineLevel="0" collapsed="false">
      <c r="B44" s="53" t="s">
        <v>450</v>
      </c>
      <c r="C44" s="54" t="s">
        <v>451</v>
      </c>
      <c r="D44" s="55" t="n">
        <f aca="false">ENTRADAS!C18</f>
        <v>1.02147</v>
      </c>
      <c r="E44" s="57" t="n">
        <f aca="false">C13*ENTRADAS!C18</f>
        <v>395.285134883721</v>
      </c>
      <c r="F44" s="54" t="s">
        <v>452</v>
      </c>
      <c r="G44" s="54" t="s">
        <v>453</v>
      </c>
    </row>
    <row r="45" customFormat="false" ht="15" hidden="false" customHeight="false" outlineLevel="0" collapsed="false">
      <c r="B45" s="21" t="s">
        <v>454</v>
      </c>
    </row>
    <row r="46" customFormat="false" ht="15" hidden="false" customHeight="false" outlineLevel="0" collapsed="false">
      <c r="C46" s="23" t="n">
        <f aca="false">(E43-E42)*12</f>
        <v>997.075610790698</v>
      </c>
      <c r="D46" s="2" t="s">
        <v>455</v>
      </c>
    </row>
    <row r="47" customFormat="false" ht="15" hidden="false" customHeight="false" outlineLevel="0" collapsed="false">
      <c r="B47" s="4" t="s">
        <v>456</v>
      </c>
    </row>
    <row r="48" customFormat="false" ht="15" hidden="false" customHeight="false" outlineLevel="0" collapsed="false">
      <c r="B48" s="4" t="s">
        <v>457</v>
      </c>
    </row>
    <row r="51" customFormat="false" ht="15" hidden="false" customHeight="false" outlineLevel="0" collapsed="false">
      <c r="B51" s="7" t="s">
        <v>458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459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460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461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331</v>
      </c>
      <c r="C55" s="47" t="n">
        <f aca="false">CONTA!C86</f>
        <v>0.186046511627907</v>
      </c>
      <c r="D55" s="2" t="s">
        <v>332</v>
      </c>
    </row>
    <row r="57" customFormat="false" ht="45.75" hidden="false" customHeight="true" outlineLevel="0" collapsed="false">
      <c r="B57" s="17" t="s">
        <v>462</v>
      </c>
      <c r="C57" s="17" t="s">
        <v>463</v>
      </c>
      <c r="D57" s="17" t="s">
        <v>464</v>
      </c>
      <c r="E57" s="17" t="s">
        <v>465</v>
      </c>
      <c r="F57" s="17" t="s">
        <v>466</v>
      </c>
      <c r="G57" s="17" t="s">
        <v>467</v>
      </c>
      <c r="H57" s="17" t="s">
        <v>466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74.4186046511628</v>
      </c>
      <c r="E58" s="39" t="n">
        <f aca="false">$C$52+D58</f>
        <v>426.245697717533</v>
      </c>
      <c r="F58" s="58" t="n">
        <f aca="false">E58*12/GERACAO!$I$17*1.1</f>
        <v>4.45035291707951</v>
      </c>
      <c r="G58" s="39" t="n">
        <f aca="false">$C$53+D58</f>
        <v>542.058702178157</v>
      </c>
      <c r="H58" s="59" t="n">
        <f aca="false">G58*12/GERACAO!$I$17*1.1</f>
        <v>5.65953519152122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111.627906976744</v>
      </c>
      <c r="E59" s="39" t="n">
        <f aca="false">$C$52+D59</f>
        <v>463.455000043114</v>
      </c>
      <c r="F59" s="58" t="n">
        <f aca="false">E59*12/GERACAO!$I$17*1.1</f>
        <v>4.8388483975826</v>
      </c>
      <c r="G59" s="39" t="n">
        <f aca="false">$C$53+D59</f>
        <v>579.268004503738</v>
      </c>
      <c r="H59" s="59" t="n">
        <f aca="false">G59*12/GERACAO!$I$17*1.1</f>
        <v>6.04803067202431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148.837209302326</v>
      </c>
      <c r="E60" s="39" t="n">
        <f aca="false">$C$52+D60</f>
        <v>500.664302368696</v>
      </c>
      <c r="F60" s="58" t="n">
        <f aca="false">E60*12/GERACAO!$I$17*1.1</f>
        <v>5.22734387808568</v>
      </c>
      <c r="G60" s="39" t="n">
        <f aca="false">$C$53+D60</f>
        <v>616.47730682932</v>
      </c>
      <c r="H60" s="59" t="n">
        <f aca="false">G60*12/GERACAO!$I$17*1.1</f>
        <v>6.43652615252739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186.046511627907</v>
      </c>
      <c r="E61" s="39" t="n">
        <f aca="false">$C$52+D61</f>
        <v>537.873604694277</v>
      </c>
      <c r="F61" s="58" t="n">
        <f aca="false">E61*12/GERACAO!$I$17*1.1</f>
        <v>5.61583935858876</v>
      </c>
      <c r="G61" s="39" t="n">
        <f aca="false">$C$53+D61</f>
        <v>653.686609154901</v>
      </c>
      <c r="H61" s="59" t="n">
        <f aca="false">G61*12/GERACAO!$I$17*1.1</f>
        <v>6.82502163303047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223.255813953488</v>
      </c>
      <c r="E62" s="39" t="n">
        <f aca="false">$C$52+D62</f>
        <v>575.082907019858</v>
      </c>
      <c r="F62" s="58" t="n">
        <f aca="false">E62*12/GERACAO!$I$17*1.1</f>
        <v>6.00433483909184</v>
      </c>
      <c r="G62" s="39" t="n">
        <f aca="false">$C$53+D62</f>
        <v>690.895911480482</v>
      </c>
      <c r="H62" s="59" t="n">
        <f aca="false">G62*12/GERACAO!$I$17*1.1</f>
        <v>7.21351711353355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279.06976744186</v>
      </c>
      <c r="E63" s="39" t="n">
        <f aca="false">$C$52+D63</f>
        <v>630.896860508231</v>
      </c>
      <c r="F63" s="58" t="n">
        <f aca="false">E63*12/GERACAO!$I$17*1.1</f>
        <v>6.58707805984647</v>
      </c>
      <c r="G63" s="39" t="n">
        <f aca="false">$C$53+D63</f>
        <v>746.709864968854</v>
      </c>
      <c r="H63" s="59" t="n">
        <f aca="false">G63*12/GERACAO!$I$17*1.1</f>
        <v>7.79626033428818</v>
      </c>
    </row>
    <row r="65" customFormat="false" ht="15" hidden="false" customHeight="false" outlineLevel="0" collapsed="false">
      <c r="B65" s="4" t="s">
        <v>468</v>
      </c>
    </row>
    <row r="66" customFormat="false" ht="15" hidden="false" customHeight="false" outlineLevel="0" collapsed="false">
      <c r="B66" s="4" t="s">
        <v>469</v>
      </c>
    </row>
    <row r="67" customFormat="false" ht="15" hidden="false" customHeight="false" outlineLevel="0" collapsed="false">
      <c r="B67" s="4" t="s">
        <v>470</v>
      </c>
    </row>
    <row r="68" customFormat="false" ht="15" hidden="false" customHeight="false" outlineLevel="0" collapsed="false">
      <c r="B68" s="4" t="s">
        <v>471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472</v>
      </c>
    </row>
    <row r="71" customFormat="false" ht="15" hidden="false" customHeight="false" outlineLevel="0" collapsed="false">
      <c r="B71" s="4" t="s">
        <v>473</v>
      </c>
    </row>
    <row r="72" customFormat="false" ht="15" hidden="false" customHeight="false" outlineLevel="0" collapsed="false">
      <c r="B72" s="4" t="s">
        <v>474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475</v>
      </c>
    </row>
    <row r="75" customFormat="false" ht="15" hidden="false" customHeight="false" outlineLevel="0" collapsed="false">
      <c r="B75" s="4" t="s">
        <v>476</v>
      </c>
    </row>
    <row r="78" customFormat="false" ht="15" hidden="false" customHeight="false" outlineLevel="0" collapsed="false">
      <c r="B78" s="7" t="s">
        <v>477</v>
      </c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B79" s="4" t="s">
        <v>478</v>
      </c>
      <c r="C79" s="29" t="n">
        <f aca="false">ENTRADAS!C41</f>
        <v>12.9</v>
      </c>
      <c r="D79" s="2" t="s">
        <v>157</v>
      </c>
      <c r="H79" s="2" t="s">
        <v>479</v>
      </c>
    </row>
    <row r="80" customFormat="false" ht="15" hidden="false" customHeight="false" outlineLevel="0" collapsed="false">
      <c r="B80" s="4" t="s">
        <v>480</v>
      </c>
      <c r="C80" s="30" t="n">
        <f aca="false">ENTRADAS!C49</f>
        <v>0.25</v>
      </c>
      <c r="D80" s="2"/>
      <c r="H80" s="2" t="s">
        <v>481</v>
      </c>
    </row>
    <row r="81" customFormat="false" ht="15" hidden="false" customHeight="false" outlineLevel="0" collapsed="false">
      <c r="B81" s="4" t="s">
        <v>482</v>
      </c>
      <c r="C81" s="29" t="n">
        <f aca="false">C79*(1-C80)</f>
        <v>9.675</v>
      </c>
      <c r="D81" s="2" t="s">
        <v>157</v>
      </c>
      <c r="H81" s="2" t="s">
        <v>483</v>
      </c>
    </row>
    <row r="82" customFormat="false" ht="15" hidden="false" customHeight="false" outlineLevel="0" collapsed="false">
      <c r="B82" s="4" t="s">
        <v>484</v>
      </c>
      <c r="C82" s="29" t="n">
        <f aca="false">IFERROR(C81/ENTRADAS!C45,0)</f>
        <v>11.25</v>
      </c>
      <c r="D82" s="2" t="s">
        <v>157</v>
      </c>
      <c r="H82" s="2" t="s">
        <v>485</v>
      </c>
    </row>
    <row r="83" customFormat="false" ht="15" hidden="false" customHeight="false" outlineLevel="0" collapsed="false">
      <c r="B83" s="21" t="s">
        <v>486</v>
      </c>
      <c r="C83" s="38" t="n">
        <f aca="false">IFERROR(C81/(ENTRADAS!C42/100),0)</f>
        <v>60.46875</v>
      </c>
      <c r="D83" s="2" t="s">
        <v>487</v>
      </c>
      <c r="H83" s="2" t="s">
        <v>488</v>
      </c>
    </row>
    <row r="84" customFormat="false" ht="15" hidden="false" customHeight="false" outlineLevel="0" collapsed="false">
      <c r="B84" s="4" t="s">
        <v>489</v>
      </c>
      <c r="C84" s="12" t="n">
        <f aca="false">ENTRADAS!C43</f>
        <v>80</v>
      </c>
      <c r="D84" s="2" t="s">
        <v>163</v>
      </c>
      <c r="H84" s="2" t="s">
        <v>490</v>
      </c>
    </row>
    <row r="85" customFormat="false" ht="15" hidden="false" customHeight="false" outlineLevel="0" collapsed="false">
      <c r="B85" s="21" t="s">
        <v>491</v>
      </c>
      <c r="C85" s="60" t="n">
        <f aca="false">IFERROR(C84/C83,0)</f>
        <v>1.32299741602067</v>
      </c>
      <c r="D85" s="2" t="s">
        <v>492</v>
      </c>
      <c r="H85" s="2" t="s">
        <v>493</v>
      </c>
    </row>
    <row r="86" customFormat="false" ht="15" hidden="false" customHeight="false" outlineLevel="0" collapsed="false">
      <c r="B86" s="4" t="s">
        <v>494</v>
      </c>
      <c r="C86" s="12" t="n">
        <f aca="false">MAX(0,C84-C83)</f>
        <v>19.53125</v>
      </c>
      <c r="D86" s="2" t="s">
        <v>163</v>
      </c>
      <c r="H86" s="2" t="s">
        <v>495</v>
      </c>
    </row>
    <row r="87" customFormat="false" ht="15" hidden="false" customHeight="false" outlineLevel="0" collapsed="false">
      <c r="B87" s="4" t="s">
        <v>496</v>
      </c>
      <c r="C87" s="29" t="n">
        <f aca="false">IFERROR(C84*ENTRADAS!C42/100/ENTRADAS!C45/ENTRADAS!C46,0)</f>
        <v>4.51021846370684</v>
      </c>
      <c r="D87" s="2" t="s">
        <v>413</v>
      </c>
      <c r="H87" s="2" t="s">
        <v>497</v>
      </c>
    </row>
    <row r="88" customFormat="false" ht="15" hidden="false" customHeight="false" outlineLevel="0" collapsed="false">
      <c r="C88" s="5" t="str">
        <f aca="false">IF(C85&gt;1,"NAO COBRE COM UMA CARGA - sao necessarias "&amp;TEXT(C85,"0.0")&amp;" cargas por dia para rodar tudo no eletrico","Uma carga por dia cobre a quilometragem")</f>
        <v>NAO COBRE COM UMA CARGA - sao necessarias 1.3 cargas por dia para rodar tudo no eletrico</v>
      </c>
    </row>
    <row r="90" customFormat="false" ht="15" hidden="false" customHeight="false" outlineLevel="0" collapsed="false">
      <c r="B90" s="7" t="s">
        <v>498</v>
      </c>
      <c r="C90" s="8"/>
      <c r="D90" s="8"/>
      <c r="E90" s="8"/>
      <c r="F90" s="8"/>
      <c r="G90" s="8"/>
      <c r="H90" s="8"/>
    </row>
    <row r="91" customFormat="false" ht="43.5" hidden="false" customHeight="true" outlineLevel="0" collapsed="false">
      <c r="B91" s="17" t="s">
        <v>499</v>
      </c>
      <c r="C91" s="17" t="s">
        <v>500</v>
      </c>
      <c r="D91" s="17" t="s">
        <v>501</v>
      </c>
      <c r="E91" s="17" t="s">
        <v>502</v>
      </c>
      <c r="F91" s="17" t="s">
        <v>466</v>
      </c>
      <c r="G91" s="17" t="s">
        <v>503</v>
      </c>
    </row>
    <row r="92" customFormat="false" ht="15" hidden="false" customHeight="false" outlineLevel="0" collapsed="false">
      <c r="B92" s="61" t="s">
        <v>504</v>
      </c>
      <c r="C92" s="19" t="n">
        <f aca="false">C82</f>
        <v>11.25</v>
      </c>
      <c r="D92" s="39" t="n">
        <f aca="false">C92*ENTRADAS!C44</f>
        <v>292.5</v>
      </c>
      <c r="E92" s="39" t="n">
        <f aca="false">ENTRADAS!C52+D92</f>
        <v>644.32709306637</v>
      </c>
      <c r="F92" s="19" t="n">
        <f aca="false">IFERROR(E92*12/GERACAO!$I$17*1.1,0)</f>
        <v>6.72730064734055</v>
      </c>
      <c r="G92" s="39" t="n">
        <f aca="false">IFERROR(ROUNDUP(F92*1000/650,0),0)</f>
        <v>11</v>
      </c>
      <c r="H92" s="2" t="s">
        <v>505</v>
      </c>
    </row>
    <row r="93" customFormat="false" ht="15" hidden="false" customHeight="false" outlineLevel="0" collapsed="false">
      <c r="B93" s="62" t="s">
        <v>506</v>
      </c>
      <c r="C93" s="19" t="n">
        <f aca="false">ENTRADAS!C43*ENTRADAS!C42/100/ENTRADAS!C45</f>
        <v>14.8837209302326</v>
      </c>
      <c r="D93" s="39" t="n">
        <f aca="false">C93*ENTRADAS!C44</f>
        <v>386.976744186047</v>
      </c>
      <c r="E93" s="63" t="n">
        <f aca="false">ENTRADAS!C52+D93</f>
        <v>738.803837252417</v>
      </c>
      <c r="F93" s="58" t="n">
        <f aca="false">IFERROR(E93*12/GERACAO!$I$17*1.1,0)</f>
        <v>7.71371495330541</v>
      </c>
      <c r="G93" s="63" t="n">
        <f aca="false">IFERROR(ROUNDUP(F93*1000/650,0),0)</f>
        <v>12</v>
      </c>
      <c r="H93" s="10" t="s">
        <v>507</v>
      </c>
    </row>
    <row r="94" customFormat="false" ht="15" hidden="false" customHeight="false" outlineLevel="0" collapsed="false">
      <c r="B94" s="61" t="s">
        <v>508</v>
      </c>
      <c r="C94" s="19" t="n">
        <f aca="false">IFERROR(CONTA!C80/ENTRADAS!C44,0)</f>
        <v>4.45434632540862</v>
      </c>
      <c r="D94" s="39" t="n">
        <f aca="false">C94*ENTRADAS!C44</f>
        <v>115.813004460624</v>
      </c>
      <c r="E94" s="39" t="n">
        <f aca="false">ENTRADAS!C52+D94</f>
        <v>467.640097526994</v>
      </c>
      <c r="F94" s="19" t="n">
        <f aca="false">IFERROR(E94*12/GERACAO!$I$17*1.1,0)</f>
        <v>4.88254423051506</v>
      </c>
      <c r="G94" s="39" t="n">
        <f aca="false">IFERROR(ROUNDUP(F94*1000/650,0),0)</f>
        <v>8</v>
      </c>
      <c r="H94" s="2" t="s">
        <v>509</v>
      </c>
    </row>
    <row r="96" customFormat="false" ht="15" hidden="false" customHeight="false" outlineLevel="0" collapsed="false">
      <c r="B96" s="3" t="s">
        <v>510</v>
      </c>
    </row>
    <row r="97" customFormat="false" ht="15" hidden="false" customHeight="false" outlineLevel="0" collapsed="false">
      <c r="B97" s="4" t="s">
        <v>511</v>
      </c>
    </row>
    <row r="98" customFormat="false" ht="15" hidden="false" customHeight="false" outlineLevel="0" collapsed="false">
      <c r="B98" s="4" t="s">
        <v>512</v>
      </c>
    </row>
    <row r="99" customFormat="false" ht="15" hidden="false" customHeight="false" outlineLevel="0" collapsed="false">
      <c r="B99" s="4" t="s">
        <v>513</v>
      </c>
    </row>
    <row r="100" customFormat="false" ht="15" hidden="false" customHeight="false" outlineLevel="0" collapsed="false">
      <c r="B100" s="4"/>
    </row>
    <row r="101" customFormat="false" ht="15" hidden="false" customHeight="false" outlineLevel="0" collapsed="false">
      <c r="B101" s="3" t="s">
        <v>514</v>
      </c>
    </row>
    <row r="102" customFormat="false" ht="15" hidden="false" customHeight="false" outlineLevel="0" collapsed="false">
      <c r="B102" s="4" t="s">
        <v>515</v>
      </c>
    </row>
    <row r="103" customFormat="false" ht="15" hidden="false" customHeight="false" outlineLevel="0" collapsed="false">
      <c r="B103" s="4" t="s">
        <v>516</v>
      </c>
    </row>
    <row r="104" customFormat="false" ht="15" hidden="false" customHeight="false" outlineLevel="0" collapsed="false">
      <c r="B104" s="4" t="s">
        <v>517</v>
      </c>
    </row>
    <row r="105" customFormat="false" ht="15" hidden="false" customHeight="false" outlineLevel="0" collapsed="false">
      <c r="B105" s="5" t="s">
        <v>518</v>
      </c>
    </row>
    <row r="106" customFormat="false" ht="15" hidden="false" customHeight="false" outlineLevel="0" collapsed="false">
      <c r="B106" s="4" t="s">
        <v>519</v>
      </c>
    </row>
    <row r="107" customFormat="false" ht="15" hidden="false" customHeight="false" outlineLevel="0" collapsed="false">
      <c r="B107" s="4"/>
    </row>
    <row r="108" customFormat="false" ht="15" hidden="false" customHeight="false" outlineLevel="0" collapsed="false">
      <c r="B108" s="5" t="s">
        <v>520</v>
      </c>
    </row>
    <row r="109" customFormat="false" ht="15" hidden="false" customHeight="false" outlineLevel="0" collapsed="false">
      <c r="B109" s="4" t="s">
        <v>521</v>
      </c>
    </row>
    <row r="110" customFormat="false" ht="15" hidden="false" customHeight="false" outlineLevel="0" collapsed="false">
      <c r="B110" s="4"/>
    </row>
    <row r="111" customFormat="false" ht="15" hidden="false" customHeight="false" outlineLevel="0" collapsed="false">
      <c r="B111" s="5" t="s">
        <v>522</v>
      </c>
    </row>
    <row r="112" customFormat="false" ht="15" hidden="false" customHeight="false" outlineLevel="0" collapsed="false">
      <c r="B112" s="4" t="s">
        <v>523</v>
      </c>
    </row>
    <row r="113" customFormat="false" ht="15" hidden="false" customHeight="false" outlineLevel="0" collapsed="false">
      <c r="B113" s="4" t="s">
        <v>524</v>
      </c>
    </row>
    <row r="114" customFormat="false" ht="15" hidden="false" customHeight="false" outlineLevel="0" collapsed="false">
      <c r="B114" s="4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526</v>
      </c>
    </row>
    <row r="2" customFormat="false" ht="15" hidden="false" customHeight="false" outlineLevel="0" collapsed="false">
      <c r="A2" s="2" t="s">
        <v>527</v>
      </c>
    </row>
    <row r="4" customFormat="false" ht="15" hidden="false" customHeight="false" outlineLevel="0" collapsed="false">
      <c r="B4" s="7" t="s">
        <v>528</v>
      </c>
      <c r="C4" s="8"/>
      <c r="D4" s="8"/>
      <c r="E4" s="8"/>
      <c r="F4" s="8"/>
    </row>
    <row r="5" customFormat="false" ht="15" hidden="false" customHeight="false" outlineLevel="0" collapsed="false">
      <c r="B5" s="4" t="s">
        <v>529</v>
      </c>
      <c r="C5" s="46" t="n">
        <f aca="false">GERACAO!I17</f>
        <v>1264.268995</v>
      </c>
      <c r="D5" s="2" t="s">
        <v>530</v>
      </c>
    </row>
    <row r="6" customFormat="false" ht="15" hidden="false" customHeight="false" outlineLevel="0" collapsed="false">
      <c r="B6" s="4" t="s">
        <v>531</v>
      </c>
      <c r="C6" s="29" t="n">
        <f aca="false">C5/12</f>
        <v>105.355749583333</v>
      </c>
      <c r="D6" s="2" t="s">
        <v>532</v>
      </c>
    </row>
    <row r="7" customFormat="false" ht="15" hidden="false" customHeight="false" outlineLevel="0" collapsed="false">
      <c r="B7" s="4" t="s">
        <v>533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534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426</v>
      </c>
      <c r="C10" s="17" t="s">
        <v>535</v>
      </c>
      <c r="D10" s="17" t="s">
        <v>536</v>
      </c>
      <c r="E10" s="17" t="s">
        <v>537</v>
      </c>
      <c r="F10" s="17" t="s">
        <v>538</v>
      </c>
    </row>
    <row r="11" customFormat="false" ht="15" hidden="false" customHeight="false" outlineLevel="0" collapsed="false">
      <c r="B11" s="18" t="s">
        <v>539</v>
      </c>
      <c r="C11" s="32" t="n">
        <f aca="false">BYD!F33</f>
        <v>351.82709306637</v>
      </c>
      <c r="D11" s="39" t="n">
        <f aca="false">C11*12</f>
        <v>4221.92511679644</v>
      </c>
      <c r="E11" s="19" t="n">
        <f aca="false">IFERROR(D11/$C$5,0)</f>
        <v>3.33941996006668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540</v>
      </c>
      <c r="C12" s="32" t="n">
        <f aca="false">BYD!F34</f>
        <v>738.803837252417</v>
      </c>
      <c r="D12" s="39" t="n">
        <f aca="false">C12*12</f>
        <v>8865.646047029</v>
      </c>
      <c r="E12" s="19" t="n">
        <f aca="false">IFERROR(D12/$C$5,0)</f>
        <v>7.01246813936855</v>
      </c>
      <c r="F12" s="39" t="n">
        <f aca="false">IFERROR(ROUNDUP(E12*1000/615,0),0)</f>
        <v>12</v>
      </c>
    </row>
    <row r="13" customFormat="false" ht="15" hidden="false" customHeight="false" outlineLevel="0" collapsed="false">
      <c r="B13" s="51" t="s">
        <v>541</v>
      </c>
      <c r="C13" s="32" t="n">
        <f aca="false">BYD!F35</f>
        <v>849.624412840279</v>
      </c>
      <c r="D13" s="39" t="n">
        <f aca="false">C13*12</f>
        <v>10195.4929540833</v>
      </c>
      <c r="E13" s="64" t="n">
        <f aca="false">IFERROR(D13/$C$5,0)</f>
        <v>8.06433836027383</v>
      </c>
      <c r="F13" s="39" t="n">
        <f aca="false">IFERROR(ROUNDUP(E13*1000/615,0),0)</f>
        <v>14</v>
      </c>
    </row>
    <row r="15" customFormat="false" ht="15" hidden="false" customHeight="false" outlineLevel="0" collapsed="false">
      <c r="B15" s="7" t="s">
        <v>542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543</v>
      </c>
      <c r="D16" s="17" t="s">
        <v>544</v>
      </c>
      <c r="E16" s="17" t="s">
        <v>545</v>
      </c>
    </row>
    <row r="17" customFormat="false" ht="23.85" hidden="false" customHeight="false" outlineLevel="0" collapsed="false">
      <c r="B17" s="4" t="s">
        <v>546</v>
      </c>
      <c r="C17" s="65" t="str">
        <f aca="false">"100% do Cenario 2"</f>
        <v>100% do Cenario 2</v>
      </c>
      <c r="D17" s="65" t="str">
        <f aca="false">"105% do Cenario 3"</f>
        <v>105% do Cenario 3</v>
      </c>
      <c r="E17" s="65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547</v>
      </c>
      <c r="C18" s="66" t="n">
        <f aca="false">E12</f>
        <v>7.01246813936855</v>
      </c>
      <c r="D18" s="66" t="n">
        <f aca="false">E13*1.05</f>
        <v>8.46755527828753</v>
      </c>
      <c r="E18" s="66" t="n">
        <f aca="false">E13*1.25</f>
        <v>10.0804229503423</v>
      </c>
    </row>
    <row r="19" customFormat="false" ht="15" hidden="false" customHeight="false" outlineLevel="0" collapsed="false">
      <c r="B19" s="4" t="s">
        <v>548</v>
      </c>
      <c r="C19" s="67" t="n">
        <f aca="false">ROUNDUP(C18*1000/615,0)</f>
        <v>12</v>
      </c>
      <c r="D19" s="67" t="n">
        <f aca="false">ROUNDUP(D18*1000/615,0)</f>
        <v>14</v>
      </c>
      <c r="E19" s="67" t="n">
        <f aca="false">ROUNDUP(E18*1000/615,0)</f>
        <v>17</v>
      </c>
    </row>
    <row r="20" customFormat="false" ht="15" hidden="false" customHeight="false" outlineLevel="0" collapsed="false">
      <c r="B20" s="4" t="s">
        <v>549</v>
      </c>
      <c r="C20" s="68" t="n">
        <f aca="false">C19*615/1000</f>
        <v>7.38</v>
      </c>
      <c r="D20" s="68" t="n">
        <f aca="false">D19*615/1000</f>
        <v>8.61</v>
      </c>
      <c r="E20" s="68" t="n">
        <f aca="false">E19*615/1000</f>
        <v>10.455</v>
      </c>
    </row>
    <row r="21" customFormat="false" ht="15" hidden="false" customHeight="false" outlineLevel="0" collapsed="false">
      <c r="B21" s="4" t="s">
        <v>550</v>
      </c>
      <c r="C21" s="66" t="n">
        <f aca="false">5</f>
        <v>5</v>
      </c>
      <c r="D21" s="66" t="n">
        <f aca="false">6</f>
        <v>6</v>
      </c>
      <c r="E21" s="66" t="n">
        <f aca="false">7.5</f>
        <v>7.5</v>
      </c>
    </row>
    <row r="22" customFormat="false" ht="15" hidden="false" customHeight="false" outlineLevel="0" collapsed="false">
      <c r="B22" s="4" t="s">
        <v>551</v>
      </c>
      <c r="C22" s="69" t="n">
        <f aca="false">IFERROR(C20/C21,0)</f>
        <v>1.476</v>
      </c>
      <c r="D22" s="69" t="n">
        <f aca="false">IFERROR(D20/D21,0)</f>
        <v>1.435</v>
      </c>
      <c r="E22" s="69" t="n">
        <f aca="false">IFERROR(E20/E21,0)</f>
        <v>1.394</v>
      </c>
    </row>
    <row r="23" customFormat="false" ht="15" hidden="false" customHeight="false" outlineLevel="0" collapsed="false">
      <c r="B23" s="4" t="s">
        <v>552</v>
      </c>
      <c r="C23" s="67" t="n">
        <f aca="false">C20*$C$5</f>
        <v>9330.3051831</v>
      </c>
      <c r="D23" s="67" t="n">
        <f aca="false">D20*$C$5</f>
        <v>10885.35604695</v>
      </c>
      <c r="E23" s="67" t="n">
        <f aca="false">E20*$C$5</f>
        <v>13217.932342725</v>
      </c>
    </row>
    <row r="24" customFormat="false" ht="15" hidden="false" customHeight="false" outlineLevel="0" collapsed="false">
      <c r="B24" s="4" t="s">
        <v>553</v>
      </c>
      <c r="C24" s="67" t="n">
        <f aca="false">C23/12</f>
        <v>777.525431925</v>
      </c>
      <c r="D24" s="67" t="n">
        <f aca="false">D23/12</f>
        <v>907.1130039125</v>
      </c>
      <c r="E24" s="67" t="n">
        <f aca="false">E23/12</f>
        <v>1101.49436189375</v>
      </c>
    </row>
    <row r="25" customFormat="false" ht="15" hidden="false" customHeight="false" outlineLevel="0" collapsed="false">
      <c r="B25" s="4" t="s">
        <v>554</v>
      </c>
      <c r="C25" s="70" t="n">
        <f aca="false">IFERROR(C23/$D$12,0)</f>
        <v>1.05241119864318</v>
      </c>
      <c r="D25" s="70" t="n">
        <f aca="false">IFERROR(D23/$D$12,0)</f>
        <v>1.22781306508372</v>
      </c>
      <c r="E25" s="70" t="n">
        <f aca="false">IFERROR(E23/$D$12,0)</f>
        <v>1.49091586474451</v>
      </c>
    </row>
    <row r="26" customFormat="false" ht="15" hidden="false" customHeight="false" outlineLevel="0" collapsed="false">
      <c r="B26" s="4" t="s">
        <v>555</v>
      </c>
      <c r="C26" s="71" t="n">
        <f aca="false">IFERROR(C23/$D$13,0)</f>
        <v>0.915140172733204</v>
      </c>
      <c r="D26" s="72" t="n">
        <f aca="false">IFERROR(D23/$D$13,0)</f>
        <v>1.0676635348554</v>
      </c>
      <c r="E26" s="71" t="n">
        <f aca="false">IFERROR(E23/$D$13,0)</f>
        <v>1.29644857803871</v>
      </c>
    </row>
    <row r="27" customFormat="false" ht="15" hidden="false" customHeight="false" outlineLevel="0" collapsed="false">
      <c r="B27" s="4" t="s">
        <v>556</v>
      </c>
      <c r="C27" s="67" t="n">
        <f aca="false">MAX(0,C23-$D$13)</f>
        <v>0</v>
      </c>
      <c r="D27" s="67" t="n">
        <f aca="false">MAX(0,D23-$D$13)</f>
        <v>689.863092866654</v>
      </c>
      <c r="E27" s="67" t="n">
        <f aca="false">MAX(0,E23-$D$13)</f>
        <v>3022.43938864165</v>
      </c>
    </row>
    <row r="30" customFormat="false" ht="15" hidden="false" customHeight="false" outlineLevel="0" collapsed="false">
      <c r="B30" s="3" t="s">
        <v>557</v>
      </c>
    </row>
    <row r="31" customFormat="false" ht="15" hidden="false" customHeight="false" outlineLevel="0" collapsed="false">
      <c r="B31" s="4" t="s">
        <v>558</v>
      </c>
    </row>
    <row r="32" customFormat="false" ht="15" hidden="false" customHeight="false" outlineLevel="0" collapsed="false">
      <c r="B32" s="4" t="s">
        <v>559</v>
      </c>
    </row>
    <row r="33" customFormat="false" ht="15" hidden="false" customHeight="false" outlineLevel="0" collapsed="false">
      <c r="B33" s="4" t="s">
        <v>560</v>
      </c>
    </row>
    <row r="34" customFormat="false" ht="15" hidden="false" customHeight="false" outlineLevel="0" collapsed="false">
      <c r="B34" s="4" t="s">
        <v>561</v>
      </c>
    </row>
    <row r="35" customFormat="false" ht="15" hidden="false" customHeight="false" outlineLevel="0" collapsed="false">
      <c r="B35" s="4" t="s">
        <v>562</v>
      </c>
    </row>
    <row r="36" customFormat="false" ht="15" hidden="false" customHeight="false" outlineLevel="0" collapsed="false">
      <c r="B36" s="4" t="s">
        <v>563</v>
      </c>
    </row>
    <row r="37" customFormat="false" ht="15" hidden="false" customHeight="false" outlineLevel="0" collapsed="false">
      <c r="B37" s="4" t="s">
        <v>564</v>
      </c>
    </row>
    <row r="38" customFormat="false" ht="15" hidden="false" customHeight="false" outlineLevel="0" collapsed="false">
      <c r="B38" s="4" t="s">
        <v>565</v>
      </c>
    </row>
    <row r="39" customFormat="false" ht="15" hidden="false" customHeight="false" outlineLevel="0" collapsed="false">
      <c r="B39" s="4" t="s">
        <v>566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567</v>
      </c>
    </row>
    <row r="42" customFormat="false" ht="15" hidden="false" customHeight="false" outlineLevel="0" collapsed="false">
      <c r="B42" s="4" t="s">
        <v>568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5" min="3" style="0" width="17"/>
    <col collapsed="false" customWidth="true" hidden="false" outlineLevel="0" max="16" min="16" style="0" width="62"/>
  </cols>
  <sheetData>
    <row r="1" customFormat="false" ht="17.35" hidden="false" customHeight="false" outlineLevel="0" collapsed="false">
      <c r="A1" s="1" t="s">
        <v>569</v>
      </c>
    </row>
    <row r="2" customFormat="false" ht="15" hidden="false" customHeight="false" outlineLevel="0" collapsed="false">
      <c r="A2" s="2" t="s">
        <v>570</v>
      </c>
    </row>
    <row r="4" customFormat="false" ht="51.75" hidden="false" customHeight="true" outlineLevel="0" collapsed="false">
      <c r="B4" s="17" t="s">
        <v>571</v>
      </c>
      <c r="C4" s="17" t="s">
        <v>572</v>
      </c>
      <c r="D4" s="17" t="s">
        <v>573</v>
      </c>
      <c r="E4" s="17" t="s">
        <v>574</v>
      </c>
      <c r="F4" s="17" t="s">
        <v>575</v>
      </c>
      <c r="G4" s="17" t="s">
        <v>576</v>
      </c>
      <c r="H4" s="17" t="s">
        <v>577</v>
      </c>
      <c r="I4" s="17" t="s">
        <v>578</v>
      </c>
      <c r="J4" s="17" t="s">
        <v>579</v>
      </c>
      <c r="K4" s="17" t="s">
        <v>580</v>
      </c>
      <c r="L4" s="17" t="s">
        <v>581</v>
      </c>
      <c r="M4" s="17" t="s">
        <v>582</v>
      </c>
      <c r="N4" s="17" t="s">
        <v>583</v>
      </c>
      <c r="O4" s="17" t="s">
        <v>584</v>
      </c>
      <c r="P4" s="17" t="s">
        <v>585</v>
      </c>
    </row>
    <row r="5" customFormat="false" ht="35.05" hidden="false" customHeight="false" outlineLevel="0" collapsed="false">
      <c r="B5" s="73" t="s">
        <v>586</v>
      </c>
      <c r="C5" s="74" t="s">
        <v>587</v>
      </c>
      <c r="D5" s="74" t="s">
        <v>587</v>
      </c>
      <c r="E5" s="74" t="s">
        <v>588</v>
      </c>
      <c r="F5" s="74" t="s">
        <v>588</v>
      </c>
      <c r="G5" s="75" t="s">
        <v>589</v>
      </c>
      <c r="H5" s="74" t="s">
        <v>590</v>
      </c>
      <c r="I5" s="74" t="s">
        <v>588</v>
      </c>
      <c r="J5" s="74" t="s">
        <v>591</v>
      </c>
      <c r="K5" s="74" t="s">
        <v>590</v>
      </c>
      <c r="L5" s="74" t="s">
        <v>592</v>
      </c>
      <c r="M5" s="74" t="s">
        <v>593</v>
      </c>
      <c r="N5" s="74" t="s">
        <v>593</v>
      </c>
      <c r="O5" s="74" t="s">
        <v>594</v>
      </c>
      <c r="P5" s="76" t="s">
        <v>595</v>
      </c>
    </row>
    <row r="6" customFormat="false" ht="35.05" hidden="false" customHeight="false" outlineLevel="0" collapsed="false">
      <c r="B6" s="73" t="s">
        <v>596</v>
      </c>
      <c r="C6" s="74" t="s">
        <v>597</v>
      </c>
      <c r="D6" s="74" t="s">
        <v>597</v>
      </c>
      <c r="E6" s="74" t="s">
        <v>598</v>
      </c>
      <c r="F6" s="74" t="s">
        <v>598</v>
      </c>
      <c r="G6" s="74" t="s">
        <v>599</v>
      </c>
      <c r="H6" s="74" t="s">
        <v>600</v>
      </c>
      <c r="I6" s="74" t="s">
        <v>598</v>
      </c>
      <c r="J6" s="74" t="s">
        <v>601</v>
      </c>
      <c r="K6" s="74" t="s">
        <v>600</v>
      </c>
      <c r="L6" s="74" t="s">
        <v>602</v>
      </c>
      <c r="M6" s="74" t="s">
        <v>598</v>
      </c>
      <c r="N6" s="74" t="s">
        <v>598</v>
      </c>
      <c r="O6" s="74" t="s">
        <v>603</v>
      </c>
      <c r="P6" s="77" t="s">
        <v>604</v>
      </c>
    </row>
    <row r="7" customFormat="false" ht="23.85" hidden="false" customHeight="false" outlineLevel="0" collapsed="false">
      <c r="B7" s="73" t="s">
        <v>605</v>
      </c>
      <c r="C7" s="74" t="s">
        <v>606</v>
      </c>
      <c r="D7" s="74" t="s">
        <v>606</v>
      </c>
      <c r="E7" s="74" t="s">
        <v>607</v>
      </c>
      <c r="F7" s="74" t="s">
        <v>607</v>
      </c>
      <c r="G7" s="74" t="s">
        <v>608</v>
      </c>
      <c r="H7" s="74" t="s">
        <v>609</v>
      </c>
      <c r="I7" s="74" t="s">
        <v>607</v>
      </c>
      <c r="J7" s="74" t="s">
        <v>610</v>
      </c>
      <c r="K7" s="74" t="s">
        <v>609</v>
      </c>
      <c r="L7" s="74" t="s">
        <v>611</v>
      </c>
      <c r="M7" s="74" t="s">
        <v>607</v>
      </c>
      <c r="N7" s="74" t="s">
        <v>607</v>
      </c>
      <c r="O7" s="74" t="s">
        <v>612</v>
      </c>
      <c r="P7" s="77" t="s">
        <v>613</v>
      </c>
    </row>
    <row r="8" customFormat="false" ht="22.35" hidden="false" customHeight="false" outlineLevel="0" collapsed="false">
      <c r="B8" s="78" t="s">
        <v>614</v>
      </c>
      <c r="C8" s="79" t="s">
        <v>615</v>
      </c>
      <c r="D8" s="79" t="s">
        <v>615</v>
      </c>
      <c r="E8" s="75" t="s">
        <v>616</v>
      </c>
      <c r="F8" s="75" t="s">
        <v>616</v>
      </c>
      <c r="G8" s="75" t="s">
        <v>616</v>
      </c>
      <c r="H8" s="79" t="s">
        <v>617</v>
      </c>
      <c r="I8" s="75" t="s">
        <v>616</v>
      </c>
      <c r="J8" s="75" t="s">
        <v>618</v>
      </c>
      <c r="K8" s="79" t="s">
        <v>617</v>
      </c>
      <c r="L8" s="79" t="s">
        <v>619</v>
      </c>
      <c r="M8" s="75" t="s">
        <v>616</v>
      </c>
      <c r="N8" s="75" t="s">
        <v>616</v>
      </c>
      <c r="O8" s="79"/>
      <c r="P8" s="76" t="s">
        <v>620</v>
      </c>
    </row>
    <row r="9" customFormat="false" ht="35.05" hidden="false" customHeight="false" outlineLevel="0" collapsed="false">
      <c r="B9" s="78" t="s">
        <v>621</v>
      </c>
      <c r="C9" s="79" t="s">
        <v>622</v>
      </c>
      <c r="D9" s="79" t="s">
        <v>623</v>
      </c>
      <c r="E9" s="79" t="s">
        <v>624</v>
      </c>
      <c r="F9" s="79" t="s">
        <v>624</v>
      </c>
      <c r="G9" s="79" t="s">
        <v>625</v>
      </c>
      <c r="H9" s="79" t="s">
        <v>626</v>
      </c>
      <c r="I9" s="79" t="s">
        <v>627</v>
      </c>
      <c r="J9" s="79" t="s">
        <v>628</v>
      </c>
      <c r="K9" s="79" t="s">
        <v>629</v>
      </c>
      <c r="L9" s="79" t="s">
        <v>630</v>
      </c>
      <c r="M9" s="79" t="s">
        <v>631</v>
      </c>
      <c r="N9" s="79" t="s">
        <v>632</v>
      </c>
      <c r="O9" s="79" t="s">
        <v>633</v>
      </c>
      <c r="P9" s="76" t="s">
        <v>634</v>
      </c>
    </row>
    <row r="10" customFormat="false" ht="22.35" hidden="false" customHeight="false" outlineLevel="0" collapsed="false">
      <c r="B10" s="73" t="s">
        <v>635</v>
      </c>
      <c r="C10" s="80" t="s">
        <v>636</v>
      </c>
      <c r="D10" s="80" t="s">
        <v>636</v>
      </c>
      <c r="E10" s="80" t="s">
        <v>637</v>
      </c>
      <c r="F10" s="80" t="s">
        <v>637</v>
      </c>
      <c r="G10" s="80" t="s">
        <v>637</v>
      </c>
      <c r="H10" s="80" t="s">
        <v>637</v>
      </c>
      <c r="I10" s="80" t="s">
        <v>637</v>
      </c>
      <c r="J10" s="80" t="s">
        <v>637</v>
      </c>
      <c r="K10" s="80" t="s">
        <v>637</v>
      </c>
      <c r="L10" s="80" t="s">
        <v>637</v>
      </c>
      <c r="M10" s="80" t="s">
        <v>637</v>
      </c>
      <c r="N10" s="80" t="s">
        <v>637</v>
      </c>
      <c r="O10" s="80" t="s">
        <v>638</v>
      </c>
      <c r="P10" s="76" t="s">
        <v>639</v>
      </c>
    </row>
    <row r="11" customFormat="false" ht="15" hidden="false" customHeight="false" outlineLevel="0" collapsed="false">
      <c r="B11" s="78" t="s">
        <v>640</v>
      </c>
      <c r="C11" s="81" t="n">
        <v>12</v>
      </c>
      <c r="D11" s="81" t="n">
        <v>12</v>
      </c>
      <c r="E11" s="81" t="n">
        <v>10</v>
      </c>
      <c r="F11" s="81" t="n">
        <v>10</v>
      </c>
      <c r="G11" s="81" t="n">
        <v>10</v>
      </c>
      <c r="H11" s="81" t="n">
        <v>8</v>
      </c>
      <c r="I11" s="81" t="n">
        <v>10</v>
      </c>
      <c r="J11" s="81" t="n">
        <v>10</v>
      </c>
      <c r="K11" s="81" t="n">
        <v>11</v>
      </c>
      <c r="L11" s="81" t="n">
        <v>8</v>
      </c>
      <c r="M11" s="81" t="n">
        <v>12</v>
      </c>
      <c r="N11" s="81" t="n">
        <v>14</v>
      </c>
      <c r="O11" s="82"/>
      <c r="P11" s="77" t="s">
        <v>641</v>
      </c>
    </row>
    <row r="12" customFormat="false" ht="15" hidden="false" customHeight="false" outlineLevel="0" collapsed="false">
      <c r="B12" s="78" t="s">
        <v>642</v>
      </c>
      <c r="C12" s="81" t="n">
        <v>615</v>
      </c>
      <c r="D12" s="81" t="n">
        <v>605</v>
      </c>
      <c r="E12" s="81" t="n">
        <v>620</v>
      </c>
      <c r="F12" s="81" t="n">
        <v>620</v>
      </c>
      <c r="G12" s="81" t="n">
        <v>535</v>
      </c>
      <c r="H12" s="81" t="n">
        <v>585</v>
      </c>
      <c r="I12" s="81" t="n">
        <v>650</v>
      </c>
      <c r="J12" s="81" t="n">
        <v>590</v>
      </c>
      <c r="K12" s="81" t="n">
        <v>620</v>
      </c>
      <c r="L12" s="81" t="n">
        <v>615</v>
      </c>
      <c r="M12" s="81" t="n">
        <v>650</v>
      </c>
      <c r="N12" s="81" t="n">
        <v>650</v>
      </c>
      <c r="O12" s="82"/>
      <c r="P12" s="77" t="s">
        <v>643</v>
      </c>
    </row>
    <row r="13" customFormat="false" ht="23.85" hidden="false" customHeight="false" outlineLevel="0" collapsed="false">
      <c r="B13" s="78" t="s">
        <v>644</v>
      </c>
      <c r="C13" s="79" t="s">
        <v>645</v>
      </c>
      <c r="D13" s="79" t="s">
        <v>646</v>
      </c>
      <c r="E13" s="79" t="s">
        <v>647</v>
      </c>
      <c r="F13" s="79" t="s">
        <v>647</v>
      </c>
      <c r="G13" s="79" t="s">
        <v>648</v>
      </c>
      <c r="H13" s="79" t="s">
        <v>649</v>
      </c>
      <c r="I13" s="79" t="s">
        <v>650</v>
      </c>
      <c r="J13" s="79" t="s">
        <v>651</v>
      </c>
      <c r="K13" s="79" t="s">
        <v>652</v>
      </c>
      <c r="L13" s="79" t="s">
        <v>653</v>
      </c>
      <c r="M13" s="79" t="s">
        <v>650</v>
      </c>
      <c r="N13" s="79" t="s">
        <v>650</v>
      </c>
      <c r="O13" s="79"/>
      <c r="P13" s="76" t="s">
        <v>654</v>
      </c>
    </row>
    <row r="14" customFormat="false" ht="15" hidden="false" customHeight="false" outlineLevel="0" collapsed="false">
      <c r="B14" s="73" t="s">
        <v>655</v>
      </c>
      <c r="C14" s="83" t="n">
        <f aca="false">C11*C12/1000</f>
        <v>7.38</v>
      </c>
      <c r="D14" s="83" t="n">
        <f aca="false">D11*D12/1000</f>
        <v>7.26</v>
      </c>
      <c r="E14" s="83" t="n">
        <f aca="false">E11*E12/1000</f>
        <v>6.2</v>
      </c>
      <c r="F14" s="83" t="n">
        <f aca="false">F11*F12/1000</f>
        <v>6.2</v>
      </c>
      <c r="G14" s="83" t="n">
        <f aca="false">G11*G12/1000</f>
        <v>5.35</v>
      </c>
      <c r="H14" s="83" t="n">
        <f aca="false">H11*H12/1000</f>
        <v>4.68</v>
      </c>
      <c r="I14" s="83" t="n">
        <f aca="false">I11*I12/1000</f>
        <v>6.5</v>
      </c>
      <c r="J14" s="83" t="n">
        <f aca="false">J11*J12/1000</f>
        <v>5.9</v>
      </c>
      <c r="K14" s="83" t="n">
        <f aca="false">K11*K12/1000</f>
        <v>6.82</v>
      </c>
      <c r="L14" s="83" t="n">
        <f aca="false">L11*L12/1000</f>
        <v>4.92</v>
      </c>
      <c r="M14" s="83" t="n">
        <f aca="false">M11*M12/1000</f>
        <v>7.8</v>
      </c>
      <c r="N14" s="83" t="n">
        <f aca="false">N11*N12/1000</f>
        <v>9.1</v>
      </c>
      <c r="O14" s="83"/>
      <c r="P14" s="77" t="s">
        <v>656</v>
      </c>
    </row>
    <row r="15" customFormat="false" ht="46.25" hidden="false" customHeight="false" outlineLevel="0" collapsed="false">
      <c r="B15" s="78" t="s">
        <v>657</v>
      </c>
      <c r="C15" s="79" t="s">
        <v>658</v>
      </c>
      <c r="D15" s="79" t="s">
        <v>658</v>
      </c>
      <c r="E15" s="79" t="s">
        <v>659</v>
      </c>
      <c r="F15" s="79" t="s">
        <v>660</v>
      </c>
      <c r="G15" s="79" t="s">
        <v>661</v>
      </c>
      <c r="H15" s="79" t="s">
        <v>662</v>
      </c>
      <c r="I15" s="79" t="s">
        <v>663</v>
      </c>
      <c r="J15" s="79" t="s">
        <v>664</v>
      </c>
      <c r="K15" s="79" t="s">
        <v>665</v>
      </c>
      <c r="L15" s="79" t="s">
        <v>666</v>
      </c>
      <c r="M15" s="79" t="s">
        <v>667</v>
      </c>
      <c r="N15" s="79" t="s">
        <v>668</v>
      </c>
      <c r="O15" s="79"/>
      <c r="P15" s="76" t="s">
        <v>669</v>
      </c>
    </row>
    <row r="16" customFormat="false" ht="15" hidden="false" customHeight="false" outlineLevel="0" collapsed="false">
      <c r="B16" s="78" t="s">
        <v>670</v>
      </c>
      <c r="C16" s="84" t="n">
        <v>6</v>
      </c>
      <c r="D16" s="84" t="n">
        <v>6</v>
      </c>
      <c r="E16" s="84" t="n">
        <v>5</v>
      </c>
      <c r="F16" s="84" t="n">
        <v>5</v>
      </c>
      <c r="G16" s="84" t="n">
        <v>4</v>
      </c>
      <c r="H16" s="84" t="n">
        <v>3</v>
      </c>
      <c r="I16" s="84" t="n">
        <v>9</v>
      </c>
      <c r="J16" s="84" t="n">
        <v>5</v>
      </c>
      <c r="K16" s="84" t="n">
        <v>7.5</v>
      </c>
      <c r="L16" s="84" t="n">
        <v>5</v>
      </c>
      <c r="M16" s="84" t="n">
        <v>9</v>
      </c>
      <c r="N16" s="84" t="n">
        <v>9</v>
      </c>
      <c r="O16" s="85"/>
      <c r="P16" s="77" t="s">
        <v>671</v>
      </c>
    </row>
    <row r="17" customFormat="false" ht="32.8" hidden="false" customHeight="false" outlineLevel="0" collapsed="false">
      <c r="B17" s="78" t="s">
        <v>672</v>
      </c>
      <c r="C17" s="79" t="s">
        <v>673</v>
      </c>
      <c r="D17" s="79" t="s">
        <v>673</v>
      </c>
      <c r="E17" s="79" t="s">
        <v>674</v>
      </c>
      <c r="F17" s="79" t="s">
        <v>674</v>
      </c>
      <c r="G17" s="79" t="s">
        <v>673</v>
      </c>
      <c r="H17" s="79" t="s">
        <v>675</v>
      </c>
      <c r="I17" s="79" t="s">
        <v>676</v>
      </c>
      <c r="J17" s="79" t="s">
        <v>677</v>
      </c>
      <c r="K17" s="79" t="s">
        <v>673</v>
      </c>
      <c r="L17" s="79" t="s">
        <v>678</v>
      </c>
      <c r="M17" s="79" t="s">
        <v>679</v>
      </c>
      <c r="N17" s="79" t="s">
        <v>680</v>
      </c>
      <c r="O17" s="79"/>
      <c r="P17" s="76" t="s">
        <v>681</v>
      </c>
    </row>
    <row r="18" customFormat="false" ht="32.8" hidden="false" customHeight="false" outlineLevel="0" collapsed="false">
      <c r="B18" s="73" t="s">
        <v>682</v>
      </c>
      <c r="C18" s="86" t="n">
        <f aca="false">IFERROR(C14/C16,0)</f>
        <v>1.23</v>
      </c>
      <c r="D18" s="86" t="n">
        <f aca="false">IFERROR(D14/D16,0)</f>
        <v>1.21</v>
      </c>
      <c r="E18" s="86" t="n">
        <f aca="false">IFERROR(E14/E16,0)</f>
        <v>1.24</v>
      </c>
      <c r="F18" s="86" t="n">
        <f aca="false">IFERROR(F14/F16,0)</f>
        <v>1.24</v>
      </c>
      <c r="G18" s="86" t="n">
        <f aca="false">IFERROR(G14/G16,0)</f>
        <v>1.3375</v>
      </c>
      <c r="H18" s="86" t="n">
        <f aca="false">IFERROR(H14/H16,0)</f>
        <v>1.56</v>
      </c>
      <c r="I18" s="86" t="n">
        <f aca="false">IFERROR(I14/I16,0)</f>
        <v>0.722222222222222</v>
      </c>
      <c r="J18" s="86" t="n">
        <f aca="false">IFERROR(J14/J16,0)</f>
        <v>1.18</v>
      </c>
      <c r="K18" s="86" t="n">
        <f aca="false">IFERROR(K14/K16,0)</f>
        <v>0.909333333333333</v>
      </c>
      <c r="L18" s="86" t="n">
        <f aca="false">IFERROR(L14/L16,0)</f>
        <v>0.984</v>
      </c>
      <c r="M18" s="86" t="n">
        <f aca="false">IFERROR(M14/M16,0)</f>
        <v>0.866666666666667</v>
      </c>
      <c r="N18" s="86" t="n">
        <f aca="false">IFERROR(N14/N16,0)</f>
        <v>1.01111111111111</v>
      </c>
      <c r="O18" s="86"/>
      <c r="P18" s="76" t="s">
        <v>683</v>
      </c>
    </row>
    <row r="19" customFormat="false" ht="22.35" hidden="false" customHeight="false" outlineLevel="0" collapsed="false">
      <c r="B19" s="78" t="s">
        <v>684</v>
      </c>
      <c r="C19" s="87" t="s">
        <v>685</v>
      </c>
      <c r="D19" s="87" t="s">
        <v>685</v>
      </c>
      <c r="E19" s="87" t="s">
        <v>686</v>
      </c>
      <c r="F19" s="87" t="s">
        <v>686</v>
      </c>
      <c r="G19" s="87" t="s">
        <v>685</v>
      </c>
      <c r="H19" s="87" t="s">
        <v>685</v>
      </c>
      <c r="I19" s="87" t="s">
        <v>686</v>
      </c>
      <c r="J19" s="87" t="s">
        <v>686</v>
      </c>
      <c r="K19" s="87" t="s">
        <v>685</v>
      </c>
      <c r="L19" s="87" t="s">
        <v>685</v>
      </c>
      <c r="M19" s="87" t="s">
        <v>686</v>
      </c>
      <c r="N19" s="87" t="s">
        <v>686</v>
      </c>
      <c r="O19" s="87"/>
      <c r="P19" s="76" t="s">
        <v>687</v>
      </c>
    </row>
    <row r="20" customFormat="false" ht="32.8" hidden="false" customHeight="false" outlineLevel="0" collapsed="false">
      <c r="B20" s="78" t="s">
        <v>688</v>
      </c>
      <c r="C20" s="79" t="s">
        <v>689</v>
      </c>
      <c r="D20" s="79" t="s">
        <v>689</v>
      </c>
      <c r="E20" s="75" t="s">
        <v>690</v>
      </c>
      <c r="F20" s="75" t="s">
        <v>690</v>
      </c>
      <c r="G20" s="79" t="s">
        <v>691</v>
      </c>
      <c r="H20" s="79" t="s">
        <v>691</v>
      </c>
      <c r="I20" s="75" t="s">
        <v>690</v>
      </c>
      <c r="J20" s="79" t="s">
        <v>692</v>
      </c>
      <c r="K20" s="79" t="s">
        <v>691</v>
      </c>
      <c r="L20" s="75" t="s">
        <v>690</v>
      </c>
      <c r="M20" s="75" t="s">
        <v>690</v>
      </c>
      <c r="N20" s="75" t="s">
        <v>690</v>
      </c>
      <c r="O20" s="79"/>
      <c r="P20" s="76" t="s">
        <v>693</v>
      </c>
    </row>
    <row r="21" customFormat="false" ht="19.4" hidden="false" customHeight="false" outlineLevel="0" collapsed="false">
      <c r="B21" s="78" t="s">
        <v>694</v>
      </c>
      <c r="C21" s="85" t="n">
        <f aca="false">C11*C12*0.00452</f>
        <v>33.3576</v>
      </c>
      <c r="D21" s="85" t="n">
        <f aca="false">D11*D12*0.00452</f>
        <v>32.8152</v>
      </c>
      <c r="E21" s="85" t="n">
        <f aca="false">E11*E12*0.00452</f>
        <v>28.024</v>
      </c>
      <c r="F21" s="85" t="n">
        <f aca="false">F11*F12*0.00452</f>
        <v>28.024</v>
      </c>
      <c r="G21" s="85" t="n">
        <f aca="false">G11*G12*0.00452</f>
        <v>24.182</v>
      </c>
      <c r="H21" s="85" t="n">
        <v>21.12</v>
      </c>
      <c r="I21" s="85" t="n">
        <f aca="false">I11*I12*0.00452</f>
        <v>29.38</v>
      </c>
      <c r="J21" s="85" t="n">
        <v>28</v>
      </c>
      <c r="K21" s="85" t="n">
        <v>30.58</v>
      </c>
      <c r="L21" s="85" t="n">
        <v>25.93</v>
      </c>
      <c r="M21" s="85" t="n">
        <f aca="false">M11*M12*0.00452</f>
        <v>35.256</v>
      </c>
      <c r="N21" s="85" t="n">
        <f aca="false">N11*N12*0.00452</f>
        <v>41.132</v>
      </c>
      <c r="O21" s="85"/>
      <c r="P21" s="77" t="s">
        <v>695</v>
      </c>
    </row>
    <row r="22" customFormat="false" ht="46.25" hidden="false" customHeight="false" outlineLevel="0" collapsed="false">
      <c r="B22" s="78" t="s">
        <v>696</v>
      </c>
      <c r="C22" s="75" t="s">
        <v>690</v>
      </c>
      <c r="D22" s="75" t="s">
        <v>690</v>
      </c>
      <c r="E22" s="75" t="s">
        <v>690</v>
      </c>
      <c r="F22" s="75" t="s">
        <v>690</v>
      </c>
      <c r="G22" s="75" t="s">
        <v>690</v>
      </c>
      <c r="H22" s="79" t="s">
        <v>697</v>
      </c>
      <c r="I22" s="79" t="s">
        <v>698</v>
      </c>
      <c r="J22" s="79" t="s">
        <v>699</v>
      </c>
      <c r="K22" s="79" t="s">
        <v>697</v>
      </c>
      <c r="L22" s="79" t="s">
        <v>700</v>
      </c>
      <c r="M22" s="79" t="s">
        <v>701</v>
      </c>
      <c r="N22" s="79" t="s">
        <v>701</v>
      </c>
      <c r="O22" s="79"/>
      <c r="P22" s="77" t="s">
        <v>702</v>
      </c>
    </row>
    <row r="23" customFormat="false" ht="35.05" hidden="false" customHeight="false" outlineLevel="0" collapsed="false">
      <c r="B23" s="78" t="s">
        <v>703</v>
      </c>
      <c r="C23" s="75" t="s">
        <v>690</v>
      </c>
      <c r="D23" s="75" t="s">
        <v>690</v>
      </c>
      <c r="E23" s="75" t="s">
        <v>690</v>
      </c>
      <c r="F23" s="75" t="s">
        <v>690</v>
      </c>
      <c r="G23" s="75" t="s">
        <v>690</v>
      </c>
      <c r="H23" s="79" t="s">
        <v>704</v>
      </c>
      <c r="I23" s="79" t="s">
        <v>705</v>
      </c>
      <c r="J23" s="79" t="s">
        <v>706</v>
      </c>
      <c r="K23" s="79" t="s">
        <v>704</v>
      </c>
      <c r="L23" s="79" t="s">
        <v>707</v>
      </c>
      <c r="M23" s="79" t="s">
        <v>708</v>
      </c>
      <c r="N23" s="79" t="s">
        <v>708</v>
      </c>
      <c r="O23" s="79"/>
      <c r="P23" s="77" t="s">
        <v>709</v>
      </c>
    </row>
    <row r="24" customFormat="false" ht="57.45" hidden="false" customHeight="false" outlineLevel="0" collapsed="false">
      <c r="B24" s="78" t="s">
        <v>710</v>
      </c>
      <c r="C24" s="75" t="s">
        <v>690</v>
      </c>
      <c r="D24" s="75" t="s">
        <v>690</v>
      </c>
      <c r="E24" s="75" t="s">
        <v>690</v>
      </c>
      <c r="F24" s="75" t="s">
        <v>690</v>
      </c>
      <c r="G24" s="75" t="s">
        <v>690</v>
      </c>
      <c r="H24" s="79" t="s">
        <v>711</v>
      </c>
      <c r="I24" s="75" t="s">
        <v>690</v>
      </c>
      <c r="J24" s="79" t="s">
        <v>712</v>
      </c>
      <c r="K24" s="79" t="s">
        <v>711</v>
      </c>
      <c r="L24" s="79" t="s">
        <v>713</v>
      </c>
      <c r="M24" s="79" t="s">
        <v>701</v>
      </c>
      <c r="N24" s="79" t="s">
        <v>701</v>
      </c>
      <c r="O24" s="79"/>
      <c r="P24" s="77" t="s">
        <v>714</v>
      </c>
    </row>
    <row r="25" customFormat="false" ht="46.25" hidden="false" customHeight="false" outlineLevel="0" collapsed="false">
      <c r="B25" s="78" t="s">
        <v>715</v>
      </c>
      <c r="C25" s="75" t="s">
        <v>716</v>
      </c>
      <c r="D25" s="75" t="s">
        <v>716</v>
      </c>
      <c r="E25" s="75" t="s">
        <v>716</v>
      </c>
      <c r="F25" s="75" t="s">
        <v>716</v>
      </c>
      <c r="G25" s="75" t="s">
        <v>716</v>
      </c>
      <c r="H25" s="75" t="s">
        <v>717</v>
      </c>
      <c r="I25" s="75" t="s">
        <v>716</v>
      </c>
      <c r="J25" s="79" t="s">
        <v>718</v>
      </c>
      <c r="K25" s="75" t="s">
        <v>717</v>
      </c>
      <c r="L25" s="79" t="s">
        <v>719</v>
      </c>
      <c r="M25" s="79" t="s">
        <v>701</v>
      </c>
      <c r="N25" s="79" t="s">
        <v>701</v>
      </c>
      <c r="O25" s="79"/>
      <c r="P25" s="76" t="s">
        <v>720</v>
      </c>
    </row>
    <row r="26" customFormat="false" ht="46.25" hidden="false" customHeight="false" outlineLevel="0" collapsed="false">
      <c r="B26" s="78" t="s">
        <v>721</v>
      </c>
      <c r="C26" s="79" t="s">
        <v>722</v>
      </c>
      <c r="D26" s="79" t="s">
        <v>722</v>
      </c>
      <c r="E26" s="79" t="s">
        <v>723</v>
      </c>
      <c r="F26" s="79" t="s">
        <v>723</v>
      </c>
      <c r="G26" s="79" t="s">
        <v>724</v>
      </c>
      <c r="H26" s="79" t="s">
        <v>725</v>
      </c>
      <c r="I26" s="79" t="s">
        <v>726</v>
      </c>
      <c r="J26" s="79" t="s">
        <v>727</v>
      </c>
      <c r="K26" s="79" t="s">
        <v>728</v>
      </c>
      <c r="L26" s="79" t="s">
        <v>729</v>
      </c>
      <c r="M26" s="79" t="s">
        <v>730</v>
      </c>
      <c r="N26" s="79" t="s">
        <v>730</v>
      </c>
      <c r="O26" s="79"/>
      <c r="P26" s="77" t="s">
        <v>731</v>
      </c>
    </row>
    <row r="28" customFormat="false" ht="15" hidden="false" customHeight="false" outlineLevel="0" collapsed="false">
      <c r="B28" s="7" t="s">
        <v>732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9.4" hidden="false" customHeight="false" outlineLevel="0" collapsed="false">
      <c r="B29" s="78" t="s">
        <v>733</v>
      </c>
      <c r="C29" s="88" t="n">
        <v>18228.7</v>
      </c>
      <c r="D29" s="88" t="n">
        <v>17307.9</v>
      </c>
      <c r="E29" s="88" t="n">
        <v>14220.34</v>
      </c>
      <c r="F29" s="88" t="n">
        <v>15220.34</v>
      </c>
      <c r="G29" s="88" t="n">
        <v>11158.91</v>
      </c>
      <c r="H29" s="88" t="n">
        <v>12387.64</v>
      </c>
      <c r="I29" s="88" t="n">
        <v>16780.54</v>
      </c>
      <c r="J29" s="88" t="n">
        <v>18733</v>
      </c>
      <c r="K29" s="88" t="n">
        <v>16890</v>
      </c>
      <c r="L29" s="88" t="n">
        <v>17442</v>
      </c>
      <c r="M29" s="89" t="n">
        <f aca="false">I29+2*ENTRADAS!$C$54</f>
        <v>18580.54</v>
      </c>
      <c r="N29" s="89" t="n">
        <f aca="false">I29+4*ENTRADAS!$C$54</f>
        <v>20380.54</v>
      </c>
      <c r="O29" s="89"/>
      <c r="P29" s="77" t="s">
        <v>734</v>
      </c>
    </row>
    <row r="30" customFormat="false" ht="22.35" hidden="false" customHeight="false" outlineLevel="0" collapsed="false">
      <c r="B30" s="78" t="s">
        <v>735</v>
      </c>
      <c r="C30" s="88" t="n">
        <v>0</v>
      </c>
      <c r="D30" s="88" t="n">
        <v>0</v>
      </c>
      <c r="E30" s="88" t="n">
        <v>1800</v>
      </c>
      <c r="F30" s="88" t="n">
        <v>1800</v>
      </c>
      <c r="G30" s="88" t="n">
        <v>0</v>
      </c>
      <c r="H30" s="88" t="n">
        <v>0</v>
      </c>
      <c r="I30" s="88" t="n">
        <v>1800</v>
      </c>
      <c r="J30" s="88" t="n">
        <v>0</v>
      </c>
      <c r="K30" s="88" t="n">
        <v>0</v>
      </c>
      <c r="L30" s="88" t="n">
        <v>0</v>
      </c>
      <c r="M30" s="88" t="n">
        <v>1800</v>
      </c>
      <c r="N30" s="88" t="n">
        <v>1800</v>
      </c>
      <c r="O30" s="89"/>
      <c r="P30" s="76" t="s">
        <v>736</v>
      </c>
    </row>
    <row r="31" customFormat="false" ht="19.4" hidden="false" customHeight="false" outlineLevel="0" collapsed="false">
      <c r="B31" s="78" t="s">
        <v>737</v>
      </c>
      <c r="C31" s="88" t="n">
        <v>790</v>
      </c>
      <c r="D31" s="88" t="n">
        <v>790</v>
      </c>
      <c r="E31" s="88" t="n">
        <v>0</v>
      </c>
      <c r="F31" s="88" t="n">
        <v>0</v>
      </c>
      <c r="G31" s="88" t="n">
        <v>790</v>
      </c>
      <c r="H31" s="88" t="n">
        <v>0</v>
      </c>
      <c r="I31" s="88" t="n">
        <v>0</v>
      </c>
      <c r="J31" s="88" t="n">
        <v>0</v>
      </c>
      <c r="K31" s="88" t="n">
        <v>0</v>
      </c>
      <c r="L31" s="88" t="n">
        <v>0</v>
      </c>
      <c r="M31" s="88" t="n">
        <v>0</v>
      </c>
      <c r="N31" s="88" t="n">
        <v>0</v>
      </c>
      <c r="O31" s="89"/>
      <c r="P31" s="77" t="s">
        <v>738</v>
      </c>
    </row>
    <row r="32" customFormat="false" ht="22.35" hidden="false" customHeight="false" outlineLevel="0" collapsed="false">
      <c r="B32" s="78" t="s">
        <v>739</v>
      </c>
      <c r="C32" s="89" t="n">
        <f aca="false">6900/10*C11</f>
        <v>8280</v>
      </c>
      <c r="D32" s="89" t="n">
        <f aca="false">6900/10*D11</f>
        <v>8280</v>
      </c>
      <c r="E32" s="88" t="n">
        <v>0</v>
      </c>
      <c r="F32" s="88" t="n">
        <v>0</v>
      </c>
      <c r="G32" s="88" t="n">
        <v>6900</v>
      </c>
      <c r="H32" s="88" t="n">
        <v>0</v>
      </c>
      <c r="I32" s="88" t="n">
        <v>0</v>
      </c>
      <c r="J32" s="88" t="n">
        <v>0</v>
      </c>
      <c r="K32" s="88" t="n">
        <v>0</v>
      </c>
      <c r="L32" s="88" t="n">
        <v>0</v>
      </c>
      <c r="M32" s="88" t="n">
        <v>0</v>
      </c>
      <c r="N32" s="88" t="n">
        <v>0</v>
      </c>
      <c r="O32" s="89"/>
      <c r="P32" s="76" t="s">
        <v>740</v>
      </c>
    </row>
    <row r="33" customFormat="false" ht="22.35" hidden="false" customHeight="false" outlineLevel="0" collapsed="false">
      <c r="B33" s="78" t="s">
        <v>741</v>
      </c>
      <c r="C33" s="89" t="n">
        <f aca="false">ENTRADAS!$C$28</f>
        <v>2500</v>
      </c>
      <c r="D33" s="89" t="n">
        <f aca="false">ENTRADAS!$C$28</f>
        <v>2500</v>
      </c>
      <c r="E33" s="89" t="n">
        <f aca="false">ENTRADAS!$C$28</f>
        <v>2500</v>
      </c>
      <c r="F33" s="89" t="n">
        <f aca="false">ENTRADAS!$C$28</f>
        <v>2500</v>
      </c>
      <c r="G33" s="89" t="n">
        <f aca="false">ENTRADAS!$C$28</f>
        <v>2500</v>
      </c>
      <c r="H33" s="89" t="n">
        <f aca="false">ENTRADAS!$C$28</f>
        <v>2500</v>
      </c>
      <c r="I33" s="89" t="n">
        <f aca="false">ENTRADAS!$C$28</f>
        <v>2500</v>
      </c>
      <c r="J33" s="89" t="n">
        <f aca="false">ENTRADAS!$C$28</f>
        <v>2500</v>
      </c>
      <c r="K33" s="89" t="n">
        <f aca="false">ENTRADAS!$C$28</f>
        <v>2500</v>
      </c>
      <c r="L33" s="89" t="n">
        <f aca="false">ENTRADAS!$C$28</f>
        <v>2500</v>
      </c>
      <c r="M33" s="89" t="n">
        <f aca="false">ENTRADAS!$C$28</f>
        <v>2500</v>
      </c>
      <c r="N33" s="89" t="n">
        <f aca="false">ENTRADAS!$C$28</f>
        <v>2500</v>
      </c>
      <c r="O33" s="89"/>
      <c r="P33" s="76" t="s">
        <v>742</v>
      </c>
    </row>
    <row r="34" customFormat="false" ht="15" hidden="false" customHeight="false" outlineLevel="0" collapsed="false">
      <c r="B34" s="73" t="s">
        <v>743</v>
      </c>
      <c r="C34" s="90" t="n">
        <f aca="false">SUM(C29:C33)</f>
        <v>29798.7</v>
      </c>
      <c r="D34" s="90" t="n">
        <f aca="false">SUM(D29:D33)</f>
        <v>28877.9</v>
      </c>
      <c r="E34" s="90" t="n">
        <f aca="false">SUM(E29:E33)</f>
        <v>18520.34</v>
      </c>
      <c r="F34" s="90" t="n">
        <f aca="false">SUM(F29:F33)</f>
        <v>19520.34</v>
      </c>
      <c r="G34" s="90" t="n">
        <f aca="false">SUM(G29:G33)</f>
        <v>21348.91</v>
      </c>
      <c r="H34" s="90" t="n">
        <f aca="false">SUM(H29:H33)</f>
        <v>14887.64</v>
      </c>
      <c r="I34" s="90" t="n">
        <f aca="false">SUM(I29:I33)</f>
        <v>21080.54</v>
      </c>
      <c r="J34" s="90" t="n">
        <f aca="false">SUM(J29:J33)</f>
        <v>21233</v>
      </c>
      <c r="K34" s="90" t="n">
        <f aca="false">SUM(K29:K33)</f>
        <v>19390</v>
      </c>
      <c r="L34" s="90" t="n">
        <f aca="false">SUM(L29:L33)</f>
        <v>19942</v>
      </c>
      <c r="M34" s="90" t="n">
        <f aca="false">SUM(M29:M33)</f>
        <v>22880.54</v>
      </c>
      <c r="N34" s="90" t="n">
        <f aca="false">SUM(N29:N33)</f>
        <v>24680.54</v>
      </c>
      <c r="O34" s="90"/>
      <c r="P34" s="77" t="s">
        <v>744</v>
      </c>
    </row>
    <row r="35" customFormat="false" ht="15" hidden="false" customHeight="false" outlineLevel="0" collapsed="false">
      <c r="B35" s="73" t="s">
        <v>745</v>
      </c>
      <c r="C35" s="91" t="n">
        <f aca="false">IFERROR(C34/(C14*1000),0)</f>
        <v>4.03776422764228</v>
      </c>
      <c r="D35" s="91" t="n">
        <f aca="false">IFERROR(D34/(D14*1000),0)</f>
        <v>3.97767217630854</v>
      </c>
      <c r="E35" s="91" t="n">
        <f aca="false">IFERROR(E34/(E14*1000),0)</f>
        <v>2.98715161290323</v>
      </c>
      <c r="F35" s="91" t="n">
        <f aca="false">IFERROR(F34/(F14*1000),0)</f>
        <v>3.14844193548387</v>
      </c>
      <c r="G35" s="91" t="n">
        <f aca="false">IFERROR(G34/(G14*1000),0)</f>
        <v>3.99045046728972</v>
      </c>
      <c r="H35" s="91" t="n">
        <f aca="false">IFERROR(H34/(H14*1000),0)</f>
        <v>3.18111965811966</v>
      </c>
      <c r="I35" s="91" t="n">
        <f aca="false">IFERROR(I34/(I14*1000),0)</f>
        <v>3.24316</v>
      </c>
      <c r="J35" s="91" t="n">
        <f aca="false">IFERROR(J34/(J14*1000),0)</f>
        <v>3.59881355932203</v>
      </c>
      <c r="K35" s="91" t="n">
        <f aca="false">IFERROR(K34/(K14*1000),0)</f>
        <v>2.84310850439883</v>
      </c>
      <c r="L35" s="91" t="n">
        <f aca="false">IFERROR(L34/(L14*1000),0)</f>
        <v>4.05325203252033</v>
      </c>
      <c r="M35" s="91" t="n">
        <f aca="false">IFERROR(M34/(M14*1000),0)</f>
        <v>2.93340256410256</v>
      </c>
      <c r="N35" s="91" t="n">
        <f aca="false">IFERROR(N34/(N14*1000),0)</f>
        <v>2.71214725274725</v>
      </c>
      <c r="O35" s="91"/>
      <c r="P35" s="77" t="s">
        <v>746</v>
      </c>
    </row>
    <row r="36" customFormat="false" ht="15" hidden="false" customHeight="false" outlineLevel="0" collapsed="false">
      <c r="B36" s="78" t="s">
        <v>747</v>
      </c>
      <c r="C36" s="92" t="n">
        <f aca="false">IFERROR(C29/(C14*1000),0)</f>
        <v>2.4700135501355</v>
      </c>
      <c r="D36" s="92" t="n">
        <f aca="false">IFERROR(D29/(D14*1000),0)</f>
        <v>2.38400826446281</v>
      </c>
      <c r="E36" s="92" t="s">
        <v>748</v>
      </c>
      <c r="F36" s="92" t="s">
        <v>748</v>
      </c>
      <c r="G36" s="92" t="n">
        <f aca="false">IFERROR(G29/(G14*1000),0)</f>
        <v>2.08577757009346</v>
      </c>
      <c r="H36" s="92" t="s">
        <v>748</v>
      </c>
      <c r="I36" s="92" t="s">
        <v>748</v>
      </c>
      <c r="J36" s="92" t="s">
        <v>748</v>
      </c>
      <c r="K36" s="92" t="s">
        <v>748</v>
      </c>
      <c r="L36" s="92" t="s">
        <v>748</v>
      </c>
      <c r="M36" s="92" t="s">
        <v>748</v>
      </c>
      <c r="N36" s="92" t="s">
        <v>748</v>
      </c>
      <c r="O36" s="92"/>
      <c r="P36" s="77" t="s">
        <v>749</v>
      </c>
    </row>
    <row r="38" customFormat="false" ht="15" hidden="false" customHeight="false" outlineLevel="0" collapsed="false">
      <c r="B38" s="7" t="s">
        <v>750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customFormat="false" ht="15" hidden="false" customHeight="false" outlineLevel="0" collapsed="false">
      <c r="B39" s="78" t="s">
        <v>751</v>
      </c>
      <c r="C39" s="82" t="n">
        <f aca="false">C14*GERACAO!$I$17</f>
        <v>9330.3051831</v>
      </c>
      <c r="D39" s="82" t="n">
        <f aca="false">D14*GERACAO!$I$17</f>
        <v>9178.5929037</v>
      </c>
      <c r="E39" s="82" t="n">
        <f aca="false">E14*GERACAO!$I$17</f>
        <v>7838.467769</v>
      </c>
      <c r="F39" s="82" t="n">
        <f aca="false">F14*GERACAO!$I$17</f>
        <v>7838.467769</v>
      </c>
      <c r="G39" s="82" t="n">
        <f aca="false">G14*GERACAO!$I$17</f>
        <v>6763.83912325</v>
      </c>
      <c r="H39" s="82" t="n">
        <f aca="false">H14*GERACAO!$I$17</f>
        <v>5916.7788966</v>
      </c>
      <c r="I39" s="82" t="n">
        <f aca="false">I14*GERACAO!$I$17</f>
        <v>8217.7484675</v>
      </c>
      <c r="J39" s="82" t="n">
        <f aca="false">J14*GERACAO!$I$17</f>
        <v>7459.1870705</v>
      </c>
      <c r="K39" s="82" t="n">
        <f aca="false">K14*GERACAO!$I$17</f>
        <v>8622.3145459</v>
      </c>
      <c r="L39" s="82" t="n">
        <f aca="false">L14*GERACAO!$I$17</f>
        <v>6220.2034554</v>
      </c>
      <c r="M39" s="82" t="n">
        <f aca="false">M14*GERACAO!$I$17</f>
        <v>9861.298161</v>
      </c>
      <c r="N39" s="82" t="n">
        <f aca="false">N14*GERACAO!$I$17</f>
        <v>11504.8478545</v>
      </c>
      <c r="O39" s="82"/>
      <c r="P39" s="77" t="s">
        <v>752</v>
      </c>
    </row>
    <row r="40" customFormat="false" ht="15" hidden="false" customHeight="false" outlineLevel="0" collapsed="false">
      <c r="B40" s="78" t="s">
        <v>753</v>
      </c>
      <c r="C40" s="82" t="n">
        <f aca="false">C39/12</f>
        <v>777.525431925</v>
      </c>
      <c r="D40" s="82" t="n">
        <f aca="false">D39/12</f>
        <v>764.882741975</v>
      </c>
      <c r="E40" s="82" t="n">
        <f aca="false">E39/12</f>
        <v>653.205647416667</v>
      </c>
      <c r="F40" s="82" t="n">
        <f aca="false">F39/12</f>
        <v>653.205647416667</v>
      </c>
      <c r="G40" s="82" t="n">
        <f aca="false">G39/12</f>
        <v>563.653260270833</v>
      </c>
      <c r="H40" s="82" t="n">
        <f aca="false">H39/12</f>
        <v>493.06490805</v>
      </c>
      <c r="I40" s="82" t="n">
        <f aca="false">I39/12</f>
        <v>684.812372291667</v>
      </c>
      <c r="J40" s="82" t="n">
        <f aca="false">J39/12</f>
        <v>621.598922541667</v>
      </c>
      <c r="K40" s="82" t="n">
        <f aca="false">K39/12</f>
        <v>718.526212158333</v>
      </c>
      <c r="L40" s="82" t="n">
        <f aca="false">L39/12</f>
        <v>518.35028795</v>
      </c>
      <c r="M40" s="82" t="n">
        <f aca="false">M39/12</f>
        <v>821.77484675</v>
      </c>
      <c r="N40" s="82" t="n">
        <f aca="false">N39/12</f>
        <v>958.737321208334</v>
      </c>
      <c r="O40" s="82"/>
      <c r="P40" s="77"/>
    </row>
    <row r="41" customFormat="false" ht="15" hidden="false" customHeight="false" outlineLevel="0" collapsed="false">
      <c r="B41" s="78" t="s">
        <v>754</v>
      </c>
      <c r="C41" s="82" t="n">
        <f aca="false">C39/ENTRADAS!$C$31*ENTRADAS!$C$32</f>
        <v>8503.5692808</v>
      </c>
      <c r="D41" s="82" t="n">
        <f aca="false">D39/ENTRADAS!$C$31*ENTRADAS!$C$32</f>
        <v>8365.2998616</v>
      </c>
      <c r="E41" s="82" t="n">
        <f aca="false">E39/ENTRADAS!$C$31*ENTRADAS!$C$32</f>
        <v>7143.919992</v>
      </c>
      <c r="F41" s="82" t="n">
        <f aca="false">F39/ENTRADAS!$C$31*ENTRADAS!$C$32</f>
        <v>7143.919992</v>
      </c>
      <c r="G41" s="82" t="n">
        <f aca="false">G39/ENTRADAS!$C$31*ENTRADAS!$C$32</f>
        <v>6164.511606</v>
      </c>
      <c r="H41" s="82" t="n">
        <f aca="false">H39/ENTRADAS!$C$31*ENTRADAS!$C$32</f>
        <v>5392.5073488</v>
      </c>
      <c r="I41" s="82" t="n">
        <f aca="false">I39/ENTRADAS!$C$31*ENTRADAS!$C$32</f>
        <v>7489.59354</v>
      </c>
      <c r="J41" s="82" t="n">
        <f aca="false">J39/ENTRADAS!$C$31*ENTRADAS!$C$32</f>
        <v>6798.246444</v>
      </c>
      <c r="K41" s="82" t="n">
        <f aca="false">K39/ENTRADAS!$C$31*ENTRADAS!$C$32</f>
        <v>7858.3119912</v>
      </c>
      <c r="L41" s="82" t="n">
        <f aca="false">L39/ENTRADAS!$C$31*ENTRADAS!$C$32</f>
        <v>5669.0461872</v>
      </c>
      <c r="M41" s="82" t="n">
        <f aca="false">M39/ENTRADAS!$C$31*ENTRADAS!$C$32</f>
        <v>8987.512248</v>
      </c>
      <c r="N41" s="82" t="n">
        <f aca="false">N39/ENTRADAS!$C$31*ENTRADAS!$C$32</f>
        <v>10485.430956</v>
      </c>
      <c r="O41" s="82"/>
      <c r="P41" s="77" t="s">
        <v>755</v>
      </c>
    </row>
    <row r="42" customFormat="false" ht="19.4" hidden="false" customHeight="false" outlineLevel="0" collapsed="false">
      <c r="B42" s="78" t="s">
        <v>756</v>
      </c>
      <c r="C42" s="81" t="n">
        <v>10554</v>
      </c>
      <c r="D42" s="81" t="n">
        <v>0</v>
      </c>
      <c r="E42" s="81" t="n">
        <v>8400</v>
      </c>
      <c r="F42" s="81" t="n">
        <v>8400</v>
      </c>
      <c r="G42" s="81" t="n">
        <v>6151</v>
      </c>
      <c r="H42" s="81" t="n">
        <v>6367.5</v>
      </c>
      <c r="I42" s="81" t="n">
        <v>8400</v>
      </c>
      <c r="J42" s="81" t="n">
        <v>7329.96</v>
      </c>
      <c r="K42" s="81" t="n">
        <v>9279.13</v>
      </c>
      <c r="L42" s="81" t="n">
        <v>6385.01</v>
      </c>
      <c r="M42" s="81" t="n">
        <v>0</v>
      </c>
      <c r="N42" s="81" t="n">
        <v>0</v>
      </c>
      <c r="O42" s="82"/>
      <c r="P42" s="77" t="s">
        <v>757</v>
      </c>
    </row>
    <row r="43" customFormat="false" ht="22.35" hidden="false" customHeight="false" outlineLevel="0" collapsed="false">
      <c r="B43" s="73" t="s">
        <v>758</v>
      </c>
      <c r="C43" s="93" t="n">
        <f aca="false">IFERROR(C39/C42-1,0)</f>
        <v>-0.115946069442865</v>
      </c>
      <c r="D43" s="93" t="n">
        <f aca="false">IFERROR(D39/D42-1,0)</f>
        <v>0</v>
      </c>
      <c r="E43" s="93" t="n">
        <f aca="false">IFERROR(E39/E42-1,0)</f>
        <v>-0.0668490751190475</v>
      </c>
      <c r="F43" s="93" t="n">
        <f aca="false">IFERROR(F39/F42-1,0)</f>
        <v>-0.0668490751190475</v>
      </c>
      <c r="G43" s="93" t="n">
        <f aca="false">IFERROR(G39/G42-1,0)</f>
        <v>0.0996324375304829</v>
      </c>
      <c r="H43" s="93" t="n">
        <f aca="false">IFERROR(H39/H42-1,0)</f>
        <v>-0.0707846255830389</v>
      </c>
      <c r="I43" s="93" t="n">
        <f aca="false">IFERROR(I39/I42-1,0)</f>
        <v>-0.0216966110119046</v>
      </c>
      <c r="J43" s="93" t="n">
        <f aca="false">IFERROR(J39/J42-1,0)</f>
        <v>0.0176299830421995</v>
      </c>
      <c r="K43" s="93" t="n">
        <f aca="false">IFERROR(K39/K42-1,0)</f>
        <v>-0.0707841633967838</v>
      </c>
      <c r="L43" s="93" t="n">
        <f aca="false">IFERROR(L39/L42-1,0)</f>
        <v>-0.0258114779146783</v>
      </c>
      <c r="M43" s="93" t="n">
        <f aca="false">IFERROR(M39/M42-1,0)</f>
        <v>0</v>
      </c>
      <c r="N43" s="93" t="n">
        <f aca="false">IFERROR(N39/N42-1,0)</f>
        <v>0</v>
      </c>
      <c r="O43" s="93"/>
      <c r="P43" s="76" t="s">
        <v>759</v>
      </c>
    </row>
    <row r="44" customFormat="false" ht="15" hidden="false" customHeight="false" outlineLevel="0" collapsed="false">
      <c r="B44" s="78" t="s">
        <v>760</v>
      </c>
      <c r="C44" s="82" t="n">
        <f aca="false">C14*GERACAO!$J$17</f>
        <v>10488.7105362</v>
      </c>
      <c r="D44" s="82" t="n">
        <f aca="false">D14*GERACAO!$J$17</f>
        <v>10318.1623974</v>
      </c>
      <c r="E44" s="82" t="n">
        <f aca="false">E14*GERACAO!$J$17</f>
        <v>8811.653838</v>
      </c>
      <c r="F44" s="82" t="n">
        <f aca="false">F14*GERACAO!$J$17</f>
        <v>8811.653838</v>
      </c>
      <c r="G44" s="82" t="n">
        <f aca="false">G14*GERACAO!$J$17</f>
        <v>7603.6045215</v>
      </c>
      <c r="H44" s="82" t="n">
        <f aca="false">H14*GERACAO!$J$17</f>
        <v>6651.3774132</v>
      </c>
      <c r="I44" s="82" t="n">
        <f aca="false">I14*GERACAO!$J$17</f>
        <v>9238.024185</v>
      </c>
      <c r="J44" s="82" t="n">
        <f aca="false">J14*GERACAO!$J$17</f>
        <v>8385.283491</v>
      </c>
      <c r="K44" s="82" t="n">
        <f aca="false">K14*GERACAO!$J$17</f>
        <v>9692.8192218</v>
      </c>
      <c r="L44" s="82" t="n">
        <f aca="false">L14*GERACAO!$J$17</f>
        <v>6992.4736908</v>
      </c>
      <c r="M44" s="82" t="n">
        <f aca="false">M14*GERACAO!$J$17</f>
        <v>11085.629022</v>
      </c>
      <c r="N44" s="82" t="n">
        <f aca="false">N14*GERACAO!$J$17</f>
        <v>12933.233859</v>
      </c>
      <c r="O44" s="82"/>
      <c r="P44" s="77" t="s">
        <v>761</v>
      </c>
    </row>
    <row r="46" customFormat="false" ht="15" hidden="false" customHeight="false" outlineLevel="0" collapsed="false">
      <c r="B46" s="7" t="s">
        <v>762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B47" s="78" t="s">
        <v>763</v>
      </c>
      <c r="C47" s="94" t="n">
        <f aca="false">IFERROR(C39/(BYD!$F$33*12),0)</f>
        <v>2.20996463105905</v>
      </c>
      <c r="D47" s="94" t="n">
        <f aca="false">IFERROR(D39/(BYD!$F$33*12),0)</f>
        <v>2.17403024681419</v>
      </c>
      <c r="E47" s="94" t="n">
        <f aca="false">IFERROR(E39/(BYD!$F$33*12),0)</f>
        <v>1.85660985265124</v>
      </c>
      <c r="F47" s="94" t="n">
        <f aca="false">IFERROR(F39/(BYD!$F$33*12),0)</f>
        <v>1.85660985265124</v>
      </c>
      <c r="G47" s="94" t="n">
        <f aca="false">IFERROR(G39/(BYD!$F$33*12),0)</f>
        <v>1.60207463091679</v>
      </c>
      <c r="H47" s="94" t="n">
        <f aca="false">IFERROR(H39/(BYD!$F$33*12),0)</f>
        <v>1.40144098554964</v>
      </c>
      <c r="I47" s="94" t="n">
        <f aca="false">IFERROR(I39/(BYD!$F$33*12),0)</f>
        <v>1.9464458132634</v>
      </c>
      <c r="J47" s="94" t="n">
        <f aca="false">IFERROR(J39/(BYD!$F$33*12),0)</f>
        <v>1.76677389203908</v>
      </c>
      <c r="K47" s="94" t="n">
        <f aca="false">IFERROR(K39/(BYD!$F$33*12),0)</f>
        <v>2.04227083791636</v>
      </c>
      <c r="L47" s="94" t="n">
        <f aca="false">IFERROR(L39/(BYD!$F$33*12),0)</f>
        <v>1.47330975403937</v>
      </c>
      <c r="M47" s="94" t="n">
        <f aca="false">IFERROR(M39/(BYD!$F$33*12),0)</f>
        <v>2.33573497591607</v>
      </c>
      <c r="N47" s="94" t="n">
        <f aca="false">IFERROR(N39/(BYD!$F$33*12),0)</f>
        <v>2.72502413856875</v>
      </c>
      <c r="O47" s="94"/>
      <c r="P47" s="77" t="s">
        <v>764</v>
      </c>
    </row>
    <row r="48" customFormat="false" ht="15" hidden="false" customHeight="false" outlineLevel="0" collapsed="false">
      <c r="B48" s="78" t="s">
        <v>765</v>
      </c>
      <c r="C48" s="94" t="n">
        <f aca="false">IFERROR(C39/(BYD!$F$34*12),0)</f>
        <v>1.05241119864318</v>
      </c>
      <c r="D48" s="94" t="n">
        <f aca="false">IFERROR(D39/(BYD!$F$34*12),0)</f>
        <v>1.03529882142947</v>
      </c>
      <c r="E48" s="94" t="n">
        <f aca="false">IFERROR(E39/(BYD!$F$34*12),0)</f>
        <v>0.884139489375033</v>
      </c>
      <c r="F48" s="94" t="n">
        <f aca="false">IFERROR(F39/(BYD!$F$34*12),0)</f>
        <v>0.884139489375033</v>
      </c>
      <c r="G48" s="94" t="n">
        <f aca="false">IFERROR(G39/(BYD!$F$34*12),0)</f>
        <v>0.762926817444585</v>
      </c>
      <c r="H48" s="94" t="n">
        <f aca="false">IFERROR(H39/(BYD!$F$34*12),0)</f>
        <v>0.667382711334702</v>
      </c>
      <c r="I48" s="94" t="n">
        <f aca="false">IFERROR(I39/(BYD!$F$34*12),0)</f>
        <v>0.926920432409309</v>
      </c>
      <c r="J48" s="94" t="n">
        <f aca="false">IFERROR(J39/(BYD!$F$34*12),0)</f>
        <v>0.841358546340758</v>
      </c>
      <c r="K48" s="94" t="n">
        <f aca="false">IFERROR(K39/(BYD!$F$34*12),0)</f>
        <v>0.972553438312537</v>
      </c>
      <c r="L48" s="94" t="n">
        <f aca="false">IFERROR(L39/(BYD!$F$34*12),0)</f>
        <v>0.701607465762123</v>
      </c>
      <c r="M48" s="94" t="n">
        <f aca="false">IFERROR(M39/(BYD!$F$34*12),0)</f>
        <v>1.11230451889117</v>
      </c>
      <c r="N48" s="94" t="n">
        <f aca="false">IFERROR(N39/(BYD!$F$34*12),0)</f>
        <v>1.29768860537303</v>
      </c>
      <c r="O48" s="94"/>
      <c r="P48" s="77"/>
    </row>
    <row r="49" customFormat="false" ht="15" hidden="false" customHeight="false" outlineLevel="0" collapsed="false">
      <c r="B49" s="73" t="s">
        <v>766</v>
      </c>
      <c r="C49" s="95" t="n">
        <f aca="false">IFERROR(C39/(BYD!$F$35*12),0)</f>
        <v>0.915140172733204</v>
      </c>
      <c r="D49" s="95" t="n">
        <f aca="false">IFERROR(D39/(BYD!$F$35*12),0)</f>
        <v>0.900259844721282</v>
      </c>
      <c r="E49" s="95" t="n">
        <f aca="false">IFERROR(E39/(BYD!$F$35*12),0)</f>
        <v>0.768816947282638</v>
      </c>
      <c r="F49" s="95" t="n">
        <f aca="false">IFERROR(F39/(BYD!$F$35*12),0)</f>
        <v>0.768816947282638</v>
      </c>
      <c r="G49" s="95" t="n">
        <f aca="false">IFERROR(G39/(BYD!$F$35*12),0)</f>
        <v>0.663414623864857</v>
      </c>
      <c r="H49" s="95" t="n">
        <f aca="false">IFERROR(H39/(BYD!$F$35*12),0)</f>
        <v>0.580332792464959</v>
      </c>
      <c r="I49" s="95" t="n">
        <f aca="false">IFERROR(I39/(BYD!$F$35*12),0)</f>
        <v>0.806017767312443</v>
      </c>
      <c r="J49" s="95" t="n">
        <f aca="false">IFERROR(J39/(BYD!$F$35*12),0)</f>
        <v>0.731616127252833</v>
      </c>
      <c r="K49" s="95" t="n">
        <f aca="false">IFERROR(K39/(BYD!$F$35*12),0)</f>
        <v>0.845698642010901</v>
      </c>
      <c r="L49" s="95" t="n">
        <f aca="false">IFERROR(L39/(BYD!$F$35*12),0)</f>
        <v>0.610093448488803</v>
      </c>
      <c r="M49" s="95" t="n">
        <f aca="false">IFERROR(M39/(BYD!$F$35*12),0)</f>
        <v>0.967221320774931</v>
      </c>
      <c r="N49" s="95" t="n">
        <f aca="false">IFERROR(N39/(BYD!$F$35*12),0)</f>
        <v>1.12842487423742</v>
      </c>
      <c r="O49" s="95"/>
      <c r="P49" s="77" t="s">
        <v>767</v>
      </c>
    </row>
    <row r="50" customFormat="false" ht="15" hidden="false" customHeight="false" outlineLevel="0" collapsed="false">
      <c r="B50" s="78" t="s">
        <v>768</v>
      </c>
      <c r="C50" s="82" t="n">
        <f aca="false">C39-BYD!$G$35</f>
        <v>-865.187770983346</v>
      </c>
      <c r="D50" s="82" t="n">
        <f aca="false">D39-BYD!$G$35</f>
        <v>-1016.90005038335</v>
      </c>
      <c r="E50" s="82" t="n">
        <f aca="false">E39-BYD!$G$35</f>
        <v>-2357.02518508335</v>
      </c>
      <c r="F50" s="82" t="n">
        <f aca="false">F39-BYD!$G$35</f>
        <v>-2357.02518508335</v>
      </c>
      <c r="G50" s="82" t="n">
        <f aca="false">G39-BYD!$G$35</f>
        <v>-3431.65383083335</v>
      </c>
      <c r="H50" s="82" t="n">
        <f aca="false">H39-BYD!$G$35</f>
        <v>-4278.71405748335</v>
      </c>
      <c r="I50" s="82" t="n">
        <f aca="false">I39-BYD!$G$35</f>
        <v>-1977.74448658335</v>
      </c>
      <c r="J50" s="82" t="n">
        <f aca="false">J39-BYD!$G$35</f>
        <v>-2736.30588358335</v>
      </c>
      <c r="K50" s="82" t="n">
        <f aca="false">K39-BYD!$G$35</f>
        <v>-1573.17840818335</v>
      </c>
      <c r="L50" s="82" t="n">
        <f aca="false">L39-BYD!$G$35</f>
        <v>-3975.28949868335</v>
      </c>
      <c r="M50" s="82" t="n">
        <f aca="false">M39-BYD!$G$35</f>
        <v>-334.194793083347</v>
      </c>
      <c r="N50" s="82" t="n">
        <f aca="false">N39-BYD!$G$35</f>
        <v>1309.35490041665</v>
      </c>
      <c r="O50" s="82"/>
      <c r="P50" s="77" t="s">
        <v>769</v>
      </c>
    </row>
    <row r="51" customFormat="false" ht="15" hidden="false" customHeight="false" outlineLevel="0" collapsed="false">
      <c r="B51" s="73" t="s">
        <v>770</v>
      </c>
      <c r="C51" s="96" t="n">
        <f aca="false">IFERROR(ROUNDUP(MAX(0,BYD!$G$35-C39)/GERACAO!$I$17*1000/C12,0),0)</f>
        <v>2</v>
      </c>
      <c r="D51" s="96" t="n">
        <f aca="false">IFERROR(ROUNDUP(MAX(0,BYD!$G$35-D39)/GERACAO!$I$17*1000/D12,0),0)</f>
        <v>2</v>
      </c>
      <c r="E51" s="96" t="n">
        <f aca="false">IFERROR(ROUNDUP(MAX(0,BYD!$G$35-E39)/GERACAO!$I$17*1000/E12,0),0)</f>
        <v>4</v>
      </c>
      <c r="F51" s="96" t="n">
        <f aca="false">IFERROR(ROUNDUP(MAX(0,BYD!$G$35-F39)/GERACAO!$I$17*1000/F12,0),0)</f>
        <v>4</v>
      </c>
      <c r="G51" s="96" t="n">
        <f aca="false">IFERROR(ROUNDUP(MAX(0,BYD!$G$35-G39)/GERACAO!$I$17*1000/G12,0),0)</f>
        <v>6</v>
      </c>
      <c r="H51" s="96" t="n">
        <f aca="false">IFERROR(ROUNDUP(MAX(0,BYD!$G$35-H39)/GERACAO!$I$17*1000/H12,0),0)</f>
        <v>6</v>
      </c>
      <c r="I51" s="96" t="n">
        <f aca="false">IFERROR(ROUNDUP(MAX(0,BYD!$G$35-I39)/GERACAO!$I$17*1000/I12,0),0)</f>
        <v>3</v>
      </c>
      <c r="J51" s="96" t="n">
        <f aca="false">IFERROR(ROUNDUP(MAX(0,BYD!$G$35-J39)/GERACAO!$I$17*1000/J12,0),0)</f>
        <v>4</v>
      </c>
      <c r="K51" s="96" t="n">
        <f aca="false">IFERROR(ROUNDUP(MAX(0,BYD!$G$35-K39)/GERACAO!$I$17*1000/K12,0),0)</f>
        <v>3</v>
      </c>
      <c r="L51" s="96" t="n">
        <f aca="false">IFERROR(ROUNDUP(MAX(0,BYD!$G$35-L39)/GERACAO!$I$17*1000/L12,0),0)</f>
        <v>6</v>
      </c>
      <c r="M51" s="96" t="n">
        <f aca="false">IFERROR(ROUNDUP(MAX(0,BYD!$G$35-M39)/GERACAO!$I$17*1000/M12,0),0)</f>
        <v>1</v>
      </c>
      <c r="N51" s="96" t="n">
        <f aca="false">IFERROR(ROUNDUP(MAX(0,BYD!$G$35-N39)/GERACAO!$I$17*1000/N12,0),0)</f>
        <v>0</v>
      </c>
      <c r="O51" s="96"/>
      <c r="P51" s="77"/>
    </row>
    <row r="52" customFormat="false" ht="15" hidden="false" customHeight="false" outlineLevel="0" collapsed="false">
      <c r="B52" s="73" t="s">
        <v>771</v>
      </c>
      <c r="C52" s="97" t="n">
        <f aca="false">IFERROR(ROUNDUP(BYD!$C$13*12/GERACAO!$I$17*1000/C12,0),0)</f>
        <v>6</v>
      </c>
      <c r="D52" s="97" t="n">
        <f aca="false">IFERROR(ROUNDUP(BYD!$C$13*12/GERACAO!$I$17*1000/D12,0),0)</f>
        <v>7</v>
      </c>
      <c r="E52" s="97" t="n">
        <f aca="false">IFERROR(ROUNDUP(BYD!$C$13*12/GERACAO!$I$17*1000/E12,0),0)</f>
        <v>6</v>
      </c>
      <c r="F52" s="97" t="n">
        <f aca="false">IFERROR(ROUNDUP(BYD!$C$13*12/GERACAO!$I$17*1000/F12,0),0)</f>
        <v>6</v>
      </c>
      <c r="G52" s="97" t="n">
        <f aca="false">IFERROR(ROUNDUP(BYD!$C$13*12/GERACAO!$I$17*1000/G12,0),0)</f>
        <v>7</v>
      </c>
      <c r="H52" s="97" t="n">
        <f aca="false">IFERROR(ROUNDUP(BYD!$C$13*12/GERACAO!$I$17*1000/H12,0),0)</f>
        <v>7</v>
      </c>
      <c r="I52" s="97" t="n">
        <f aca="false">IFERROR(ROUNDUP(BYD!$C$13*12/GERACAO!$I$17*1000/I12,0),0)</f>
        <v>6</v>
      </c>
      <c r="J52" s="97" t="n">
        <f aca="false">IFERROR(ROUNDUP(BYD!$C$13*12/GERACAO!$I$17*1000/J12,0),0)</f>
        <v>7</v>
      </c>
      <c r="K52" s="97" t="n">
        <f aca="false">IFERROR(ROUNDUP(BYD!$C$13*12/GERACAO!$I$17*1000/K12,0),0)</f>
        <v>6</v>
      </c>
      <c r="L52" s="97" t="n">
        <f aca="false">IFERROR(ROUNDUP(BYD!$C$13*12/GERACAO!$I$17*1000/L12,0),0)</f>
        <v>6</v>
      </c>
      <c r="M52" s="97" t="n">
        <f aca="false">IFERROR(ROUNDUP(BYD!$C$13*12/GERACAO!$I$17*1000/M12,0),0)</f>
        <v>6</v>
      </c>
      <c r="N52" s="97" t="n">
        <f aca="false">IFERROR(ROUNDUP(BYD!$C$13*12/GERACAO!$I$17*1000/N12,0),0)</f>
        <v>6</v>
      </c>
      <c r="O52" s="97"/>
      <c r="P52" s="77" t="s">
        <v>772</v>
      </c>
    </row>
    <row r="53" customFormat="false" ht="22.35" hidden="false" customHeight="false" outlineLevel="0" collapsed="false">
      <c r="B53" s="78" t="s">
        <v>773</v>
      </c>
      <c r="C53" s="79" t="str">
        <f aca="false">C16&amp;" kW = "&amp;TEXT(C16*1000/220,"0")&amp;" A"</f>
        <v>6 kW = 27 A</v>
      </c>
      <c r="D53" s="79" t="str">
        <f aca="false">D16&amp;" kW = "&amp;TEXT(D16*1000/220,"0")&amp;" A"</f>
        <v>6 kW = 27 A</v>
      </c>
      <c r="E53" s="79" t="str">
        <f aca="false">E16&amp;" kW = "&amp;TEXT(E16*1000/220,"0")&amp;" A"</f>
        <v>5 kW = 23 A</v>
      </c>
      <c r="F53" s="79" t="str">
        <f aca="false">F16&amp;" kW = "&amp;TEXT(F16*1000/220,"0")&amp;" A"</f>
        <v>5 kW = 23 A</v>
      </c>
      <c r="G53" s="79" t="str">
        <f aca="false">G16&amp;" kW = "&amp;TEXT(G16*1000/220,"0")&amp;" A"</f>
        <v>4 kW = 18 A</v>
      </c>
      <c r="H53" s="79" t="str">
        <f aca="false">H16&amp;" kW = "&amp;TEXT(H16*1000/220,"0")&amp;" A"</f>
        <v>3 kW = 14 A</v>
      </c>
      <c r="I53" s="79" t="str">
        <f aca="false">I16&amp;" kW = "&amp;TEXT(I16*1000/220,"0")&amp;" A"</f>
        <v>9 kW = 41 A</v>
      </c>
      <c r="J53" s="79" t="str">
        <f aca="false">J16&amp;" kW = "&amp;TEXT(J16*1000/220,"0")&amp;" A"</f>
        <v>5 kW = 23 A</v>
      </c>
      <c r="K53" s="79" t="str">
        <f aca="false">K16&amp;" kW = "&amp;TEXT(K16*1000/220,"0")&amp;" A"</f>
        <v>7.5 kW = 34 A</v>
      </c>
      <c r="L53" s="79" t="str">
        <f aca="false">L16&amp;" kW = "&amp;TEXT(L16*1000/220,"0")&amp;" A"</f>
        <v>5 kW = 23 A</v>
      </c>
      <c r="M53" s="79" t="str">
        <f aca="false">M16&amp;" kW = "&amp;TEXT(M16*1000/220,"0")&amp;" A"</f>
        <v>9 kW = 41 A</v>
      </c>
      <c r="N53" s="79" t="str">
        <f aca="false">N16&amp;" kW = "&amp;TEXT(N16*1000/220,"0")&amp;" A"</f>
        <v>9 kW = 41 A</v>
      </c>
      <c r="O53" s="79"/>
      <c r="P53" s="76" t="s">
        <v>774</v>
      </c>
    </row>
    <row r="55" customFormat="false" ht="15" hidden="false" customHeight="false" outlineLevel="0" collapsed="false">
      <c r="B55" s="7" t="s">
        <v>775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customFormat="false" ht="15" hidden="false" customHeight="false" outlineLevel="0" collapsed="false">
      <c r="B56" s="78" t="s">
        <v>776</v>
      </c>
      <c r="C56" s="89" t="n">
        <f aca="false">CONTA!$C$54</f>
        <v>410.62787654321</v>
      </c>
      <c r="D56" s="89" t="n">
        <f aca="false">CONTA!$C$54</f>
        <v>410.62787654321</v>
      </c>
      <c r="E56" s="89" t="n">
        <f aca="false">CONTA!$C$54</f>
        <v>410.62787654321</v>
      </c>
      <c r="F56" s="89" t="n">
        <f aca="false">CONTA!$C$54</f>
        <v>410.62787654321</v>
      </c>
      <c r="G56" s="89" t="n">
        <f aca="false">CONTA!$C$54</f>
        <v>410.62787654321</v>
      </c>
      <c r="H56" s="89" t="n">
        <f aca="false">CONTA!$C$54</f>
        <v>410.62787654321</v>
      </c>
      <c r="I56" s="89" t="n">
        <f aca="false">CONTA!$C$54</f>
        <v>410.62787654321</v>
      </c>
      <c r="J56" s="89" t="n">
        <f aca="false">CONTA!$C$54</f>
        <v>410.62787654321</v>
      </c>
      <c r="K56" s="89" t="n">
        <f aca="false">CONTA!$C$54</f>
        <v>410.62787654321</v>
      </c>
      <c r="L56" s="89" t="n">
        <f aca="false">CONTA!$C$54</f>
        <v>410.62787654321</v>
      </c>
      <c r="M56" s="89" t="n">
        <f aca="false">CONTA!$C$54</f>
        <v>410.62787654321</v>
      </c>
      <c r="N56" s="89" t="n">
        <f aca="false">CONTA!$C$54</f>
        <v>410.62787654321</v>
      </c>
      <c r="O56" s="89"/>
      <c r="P56" s="77" t="s">
        <v>777</v>
      </c>
    </row>
    <row r="57" customFormat="false" ht="15" hidden="false" customHeight="false" outlineLevel="0" collapsed="false">
      <c r="B57" s="78" t="s">
        <v>778</v>
      </c>
      <c r="C57" s="89" t="n">
        <f aca="false">ECONOMIA!C8/12</f>
        <v>888.97584898396</v>
      </c>
      <c r="D57" s="89" t="n">
        <f aca="false">ECONOMIA!D8/12</f>
        <v>888.97584898396</v>
      </c>
      <c r="E57" s="89" t="n">
        <f aca="false">ECONOMIA!E8/12</f>
        <v>888.97584898396</v>
      </c>
      <c r="F57" s="89" t="n">
        <f aca="false">ECONOMIA!F8/12</f>
        <v>888.97584898396</v>
      </c>
      <c r="G57" s="89" t="n">
        <f aca="false">ECONOMIA!G8/12</f>
        <v>888.97584898396</v>
      </c>
      <c r="H57" s="89" t="n">
        <f aca="false">ECONOMIA!H8/12</f>
        <v>888.97584898396</v>
      </c>
      <c r="I57" s="89" t="n">
        <f aca="false">ECONOMIA!I8/12</f>
        <v>888.97584898396</v>
      </c>
      <c r="J57" s="89" t="n">
        <f aca="false">ECONOMIA!J8/12</f>
        <v>888.97584898396</v>
      </c>
      <c r="K57" s="89" t="n">
        <f aca="false">ECONOMIA!K8/12</f>
        <v>888.97584898396</v>
      </c>
      <c r="L57" s="89" t="n">
        <f aca="false">ECONOMIA!L8/12</f>
        <v>888.97584898396</v>
      </c>
      <c r="M57" s="89" t="n">
        <f aca="false">ECONOMIA!M8/12</f>
        <v>888.97584898396</v>
      </c>
      <c r="N57" s="89" t="n">
        <f aca="false">ECONOMIA!N8/12</f>
        <v>888.97584898396</v>
      </c>
      <c r="O57" s="89"/>
      <c r="P57" s="77" t="s">
        <v>779</v>
      </c>
    </row>
    <row r="58" customFormat="false" ht="15" hidden="false" customHeight="false" outlineLevel="0" collapsed="false">
      <c r="B58" s="73" t="s">
        <v>780</v>
      </c>
      <c r="C58" s="98" t="n">
        <f aca="false">ECONOMIA!C19</f>
        <v>211.619298363013</v>
      </c>
      <c r="D58" s="98" t="n">
        <f aca="false">ECONOMIA!D19</f>
        <v>222.633226015386</v>
      </c>
      <c r="E58" s="98" t="n">
        <f aca="false">ECONOMIA!E19</f>
        <v>319.922920278015</v>
      </c>
      <c r="F58" s="98" t="n">
        <f aca="false">ECONOMIA!F19</f>
        <v>319.922920278015</v>
      </c>
      <c r="G58" s="98" t="n">
        <f aca="false">ECONOMIA!G19</f>
        <v>397.938241148992</v>
      </c>
      <c r="H58" s="98" t="n">
        <f aca="false">ECONOMIA!H19</f>
        <v>459.432670541408</v>
      </c>
      <c r="I58" s="98" t="n">
        <f aca="false">ECONOMIA!I19</f>
        <v>292.388101147082</v>
      </c>
      <c r="J58" s="98" t="n">
        <f aca="false">ECONOMIA!J19</f>
        <v>347.457739408948</v>
      </c>
      <c r="K58" s="98" t="n">
        <f aca="false">ECONOMIA!K19</f>
        <v>263.017627407421</v>
      </c>
      <c r="L58" s="98" t="n">
        <f aca="false">ECONOMIA!L19</f>
        <v>437.404815236662</v>
      </c>
      <c r="M58" s="98" t="n">
        <f aca="false">ECONOMIA!M19</f>
        <v>190.940529318631</v>
      </c>
      <c r="N58" s="98" t="n">
        <f aca="false">ECONOMIA!N19</f>
        <v>189.146615114683</v>
      </c>
      <c r="O58" s="98"/>
      <c r="P58" s="76" t="s">
        <v>781</v>
      </c>
    </row>
    <row r="59" customFormat="false" ht="15" hidden="false" customHeight="false" outlineLevel="0" collapsed="false">
      <c r="B59" s="78" t="s">
        <v>782</v>
      </c>
      <c r="C59" s="89" t="n">
        <f aca="false">ECONOMIA!C26</f>
        <v>7678.27860745136</v>
      </c>
      <c r="D59" s="89" t="n">
        <f aca="false">ECONOMIA!D26</f>
        <v>7546.11147562288</v>
      </c>
      <c r="E59" s="89" t="n">
        <f aca="false">ECONOMIA!E26</f>
        <v>6378.63514447133</v>
      </c>
      <c r="F59" s="89" t="n">
        <f aca="false">ECONOMIA!F26</f>
        <v>6378.63514447133</v>
      </c>
      <c r="G59" s="89" t="n">
        <f aca="false">ECONOMIA!G26</f>
        <v>5442.45129401962</v>
      </c>
      <c r="H59" s="89" t="n">
        <f aca="false">ECONOMIA!H26</f>
        <v>4704.51814131062</v>
      </c>
      <c r="I59" s="89" t="n">
        <f aca="false">ECONOMIA!I26</f>
        <v>6709.05297404253</v>
      </c>
      <c r="J59" s="89" t="n">
        <f aca="false">ECONOMIA!J26</f>
        <v>6048.21731490014</v>
      </c>
      <c r="K59" s="89" t="n">
        <f aca="false">ECONOMIA!K26</f>
        <v>7061.49865891847</v>
      </c>
      <c r="L59" s="89" t="n">
        <f aca="false">ECONOMIA!L26</f>
        <v>4968.85240496757</v>
      </c>
      <c r="M59" s="89" t="n">
        <f aca="false">ECONOMIA!M26</f>
        <v>7926.42383598395</v>
      </c>
      <c r="N59" s="89" t="n">
        <f aca="false">ECONOMIA!N26</f>
        <v>7947.95080643133</v>
      </c>
      <c r="O59" s="89"/>
      <c r="P59" s="77"/>
    </row>
    <row r="60" customFormat="false" ht="15" hidden="false" customHeight="false" outlineLevel="0" collapsed="false">
      <c r="B60" s="73" t="s">
        <v>783</v>
      </c>
      <c r="C60" s="98" t="n">
        <f aca="false">C59/12</f>
        <v>639.856550620947</v>
      </c>
      <c r="D60" s="98" t="n">
        <f aca="false">D59/12</f>
        <v>628.842622968574</v>
      </c>
      <c r="E60" s="98" t="n">
        <f aca="false">E59/12</f>
        <v>531.552928705945</v>
      </c>
      <c r="F60" s="98" t="n">
        <f aca="false">F59/12</f>
        <v>531.552928705945</v>
      </c>
      <c r="G60" s="98" t="n">
        <f aca="false">G59/12</f>
        <v>453.537607834968</v>
      </c>
      <c r="H60" s="98" t="n">
        <f aca="false">H59/12</f>
        <v>392.043178442552</v>
      </c>
      <c r="I60" s="98" t="n">
        <f aca="false">I59/12</f>
        <v>559.087747836877</v>
      </c>
      <c r="J60" s="98" t="n">
        <f aca="false">J59/12</f>
        <v>504.018109575012</v>
      </c>
      <c r="K60" s="98" t="n">
        <f aca="false">K59/12</f>
        <v>588.458221576539</v>
      </c>
      <c r="L60" s="98" t="n">
        <f aca="false">L59/12</f>
        <v>414.071033747298</v>
      </c>
      <c r="M60" s="98" t="n">
        <f aca="false">M59/12</f>
        <v>660.535319665329</v>
      </c>
      <c r="N60" s="98" t="n">
        <f aca="false">N59/12</f>
        <v>662.329233869277</v>
      </c>
      <c r="O60" s="98"/>
      <c r="P60" s="77"/>
    </row>
    <row r="61" customFormat="false" ht="19.4" hidden="false" customHeight="false" outlineLevel="0" collapsed="false">
      <c r="B61" s="73" t="s">
        <v>784</v>
      </c>
      <c r="C61" s="99" t="n">
        <f aca="false">IFERROR(C34/C59,0)</f>
        <v>3.88090892808734</v>
      </c>
      <c r="D61" s="99" t="n">
        <f aca="false">IFERROR(D34/D59,0)</f>
        <v>3.82685838836171</v>
      </c>
      <c r="E61" s="99" t="n">
        <f aca="false">IFERROR(E34/E59,0)</f>
        <v>2.90349574486204</v>
      </c>
      <c r="F61" s="99" t="n">
        <f aca="false">IFERROR(F34/F59,0)</f>
        <v>3.06026909485789</v>
      </c>
      <c r="G61" s="99" t="n">
        <f aca="false">IFERROR(G34/G59,0)</f>
        <v>3.92266441106401</v>
      </c>
      <c r="H61" s="99" t="n">
        <f aca="false">IFERROR(H34/H59,0)</f>
        <v>3.1645408844895</v>
      </c>
      <c r="I61" s="99" t="n">
        <f aca="false">IFERROR(I34/I59,0)</f>
        <v>3.14210367417891</v>
      </c>
      <c r="J61" s="99" t="n">
        <f aca="false">IFERROR(J34/J59,0)</f>
        <v>3.51062121192161</v>
      </c>
      <c r="K61" s="99" t="n">
        <f aca="false">IFERROR(K34/K59,0)</f>
        <v>2.74587604367962</v>
      </c>
      <c r="L61" s="99" t="n">
        <f aca="false">IFERROR(L34/L59,0)</f>
        <v>4.01340156130682</v>
      </c>
      <c r="M61" s="99" t="n">
        <f aca="false">IFERROR(M34/M59,0)</f>
        <v>2.88661576436629</v>
      </c>
      <c r="N61" s="99" t="n">
        <f aca="false">IFERROR(N34/N59,0)</f>
        <v>3.10527085548001</v>
      </c>
      <c r="O61" s="99"/>
      <c r="P61" s="77" t="s">
        <v>785</v>
      </c>
    </row>
    <row r="62" customFormat="false" ht="15" hidden="false" customHeight="false" outlineLevel="0" collapsed="false">
      <c r="B62" s="78" t="s">
        <v>786</v>
      </c>
      <c r="C62" s="100" t="n">
        <f aca="false">PROJECAO!E10</f>
        <v>43733.5076175232</v>
      </c>
      <c r="D62" s="100" t="n">
        <f aca="false">PROJECAO!H10</f>
        <v>42980.7174985247</v>
      </c>
      <c r="E62" s="100" t="n">
        <f aca="false">PROJECAO!K10</f>
        <v>36331.0714473713</v>
      </c>
      <c r="F62" s="100" t="n">
        <f aca="false">PROJECAO!N10</f>
        <v>36331.0714473713</v>
      </c>
      <c r="G62" s="100" t="n">
        <f aca="false">PROJECAO!Q10</f>
        <v>30998.8081044653</v>
      </c>
      <c r="H62" s="100" t="n">
        <f aca="false">PROJECAO!T10</f>
        <v>26795.7299400571</v>
      </c>
      <c r="I62" s="100" t="n">
        <f aca="false">PROJECAO!W10</f>
        <v>38213.0467448676</v>
      </c>
      <c r="J62" s="100" t="n">
        <f aca="false">PROJECAO!Z10</f>
        <v>34449.0961498751</v>
      </c>
      <c r="K62" s="100" t="n">
        <f aca="false">PROJECAO!AC10</f>
        <v>40220.4870621969</v>
      </c>
      <c r="L62" s="100" t="n">
        <f aca="false">PROJECAO!AF10</f>
        <v>28301.310178054</v>
      </c>
      <c r="M62" s="100" t="n">
        <f aca="false">PROJECAO!AI10</f>
        <v>45146.8792594105</v>
      </c>
      <c r="N62" s="100" t="n">
        <f aca="false">PROJECAO!AL10</f>
        <v>45269.4913674329</v>
      </c>
      <c r="O62" s="100"/>
      <c r="P62" s="77"/>
    </row>
    <row r="63" customFormat="false" ht="15" hidden="false" customHeight="false" outlineLevel="0" collapsed="false">
      <c r="B63" s="78" t="s">
        <v>787</v>
      </c>
      <c r="C63" s="100" t="n">
        <f aca="false">PROJECAO!E15</f>
        <v>103704.263291657</v>
      </c>
      <c r="D63" s="100" t="n">
        <f aca="false">PROJECAO!H15</f>
        <v>101919.189352774</v>
      </c>
      <c r="E63" s="100" t="n">
        <f aca="false">PROJECAO!K15</f>
        <v>86151.0362259752</v>
      </c>
      <c r="F63" s="100" t="n">
        <f aca="false">PROJECAO!N15</f>
        <v>86151.0362259752</v>
      </c>
      <c r="G63" s="100" t="n">
        <f aca="false">PROJECAO!Q15</f>
        <v>73506.7624922213</v>
      </c>
      <c r="H63" s="100" t="n">
        <f aca="false">PROJECAO!T15</f>
        <v>63540.0996667917</v>
      </c>
      <c r="I63" s="100" t="n">
        <f aca="false">PROJECAO!W15</f>
        <v>90613.7210731825</v>
      </c>
      <c r="J63" s="100" t="n">
        <f aca="false">PROJECAO!Z15</f>
        <v>81688.351378768</v>
      </c>
      <c r="K63" s="100" t="n">
        <f aca="false">PROJECAO!AC15</f>
        <v>95373.9182435369</v>
      </c>
      <c r="L63" s="100" t="n">
        <f aca="false">PROJECAO!AF15</f>
        <v>67110.2475445575</v>
      </c>
      <c r="M63" s="100" t="n">
        <f aca="false">PROJECAO!AI15</f>
        <v>107055.759040892</v>
      </c>
      <c r="N63" s="100" t="n">
        <f aca="false">PROJECAO!AL15</f>
        <v>107346.506319713</v>
      </c>
      <c r="O63" s="100"/>
      <c r="P63" s="77"/>
    </row>
    <row r="64" customFormat="false" ht="15" hidden="false" customHeight="false" outlineLevel="0" collapsed="false">
      <c r="B64" s="78" t="s">
        <v>788</v>
      </c>
      <c r="C64" s="100" t="n">
        <f aca="false">PROJECAO!E25</f>
        <v>298709.839896891</v>
      </c>
      <c r="D64" s="100" t="n">
        <f aca="false">PROJECAO!H25</f>
        <v>293568.111547805</v>
      </c>
      <c r="E64" s="100" t="n">
        <f aca="false">PROJECAO!K25</f>
        <v>248149.511130875</v>
      </c>
      <c r="F64" s="100" t="n">
        <f aca="false">PROJECAO!N25</f>
        <v>248149.511130875</v>
      </c>
      <c r="G64" s="100" t="n">
        <f aca="false">PROJECAO!Q25</f>
        <v>211728.935324847</v>
      </c>
      <c r="H64" s="100" t="n">
        <f aca="false">PROJECAO!T25</f>
        <v>183020.952042449</v>
      </c>
      <c r="I64" s="100" t="n">
        <f aca="false">PROJECAO!W25</f>
        <v>261003.832003591</v>
      </c>
      <c r="J64" s="100" t="n">
        <f aca="false">PROJECAO!Z25</f>
        <v>235295.19025816</v>
      </c>
      <c r="K64" s="100" t="n">
        <f aca="false">PROJECAO!AC25</f>
        <v>274715.107601155</v>
      </c>
      <c r="L64" s="100" t="n">
        <f aca="false">PROJECAO!AF25</f>
        <v>193304.408740621</v>
      </c>
      <c r="M64" s="100" t="n">
        <f aca="false">PROJECAO!AI25</f>
        <v>308363.490835555</v>
      </c>
      <c r="N64" s="100" t="n">
        <f aca="false">PROJECAO!AL25</f>
        <v>309200.959521513</v>
      </c>
      <c r="O64" s="100"/>
      <c r="P64" s="77"/>
    </row>
    <row r="65" customFormat="false" ht="19.4" hidden="false" customHeight="false" outlineLevel="0" collapsed="false">
      <c r="B65" s="73" t="s">
        <v>789</v>
      </c>
      <c r="C65" s="101" t="n">
        <f aca="false">C64-C34</f>
        <v>268911.139896891</v>
      </c>
      <c r="D65" s="101" t="n">
        <f aca="false">D64-D34</f>
        <v>264690.211547805</v>
      </c>
      <c r="E65" s="101" t="n">
        <f aca="false">E64-E34</f>
        <v>229629.171130875</v>
      </c>
      <c r="F65" s="101" t="n">
        <f aca="false">F64-F34</f>
        <v>228629.171130875</v>
      </c>
      <c r="G65" s="101" t="n">
        <f aca="false">G64-G34</f>
        <v>190380.025324847</v>
      </c>
      <c r="H65" s="101" t="n">
        <f aca="false">H64-H34</f>
        <v>168133.312042449</v>
      </c>
      <c r="I65" s="101" t="n">
        <f aca="false">I64-I34</f>
        <v>239923.292003591</v>
      </c>
      <c r="J65" s="101" t="n">
        <f aca="false">J64-J34</f>
        <v>214062.19025816</v>
      </c>
      <c r="K65" s="101" t="n">
        <f aca="false">K64-K34</f>
        <v>255325.107601155</v>
      </c>
      <c r="L65" s="101" t="n">
        <f aca="false">L64-L34</f>
        <v>173362.408740621</v>
      </c>
      <c r="M65" s="101" t="n">
        <f aca="false">M64-M34</f>
        <v>285482.950835555</v>
      </c>
      <c r="N65" s="101" t="n">
        <f aca="false">N64-N34</f>
        <v>284520.419521513</v>
      </c>
      <c r="O65" s="101"/>
      <c r="P65" s="77" t="s">
        <v>790</v>
      </c>
    </row>
    <row r="66" customFormat="false" ht="15" hidden="false" customHeight="false" outlineLevel="0" collapsed="false">
      <c r="B66" s="78" t="s">
        <v>791</v>
      </c>
      <c r="C66" s="94" t="n">
        <f aca="false">IFERROR(C65/C34,0)</f>
        <v>9.02425743058895</v>
      </c>
      <c r="D66" s="94" t="n">
        <f aca="false">IFERROR(D65/D34,0)</f>
        <v>9.16584002118591</v>
      </c>
      <c r="E66" s="94" t="n">
        <f aca="false">IFERROR(E65/E34,0)</f>
        <v>12.3987556994567</v>
      </c>
      <c r="F66" s="94" t="n">
        <f aca="false">IFERROR(F65/F34,0)</f>
        <v>11.7123559902581</v>
      </c>
      <c r="G66" s="94" t="n">
        <f aca="false">IFERROR(G65/G34,0)</f>
        <v>8.91755248042393</v>
      </c>
      <c r="H66" s="94" t="n">
        <f aca="false">IFERROR(H65/H34,0)</f>
        <v>11.2934831875602</v>
      </c>
      <c r="I66" s="94" t="n">
        <f aca="false">IFERROR(I65/I34,0)</f>
        <v>11.3812687911975</v>
      </c>
      <c r="J66" s="94" t="n">
        <f aca="false">IFERROR(J65/J34,0)</f>
        <v>10.0815800997579</v>
      </c>
      <c r="K66" s="94" t="n">
        <f aca="false">IFERROR(K65/K34,0)</f>
        <v>13.1678755854128</v>
      </c>
      <c r="L66" s="94" t="n">
        <f aca="false">IFERROR(L65/L34,0)</f>
        <v>8.69333109721298</v>
      </c>
      <c r="M66" s="94" t="n">
        <f aca="false">IFERROR(M65/M34,0)</f>
        <v>12.4771072201773</v>
      </c>
      <c r="N66" s="94" t="n">
        <f aca="false">IFERROR(N65/N34,0)</f>
        <v>11.5281278092583</v>
      </c>
      <c r="O66" s="94"/>
      <c r="P66" s="77"/>
    </row>
    <row r="68" customFormat="false" ht="15" hidden="false" customHeight="false" outlineLevel="0" collapsed="false">
      <c r="B68" s="7" t="s">
        <v>792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customFormat="false" ht="15" hidden="false" customHeight="false" outlineLevel="0" collapsed="false">
      <c r="B69" s="78" t="s">
        <v>793</v>
      </c>
      <c r="C69" s="85" t="n">
        <f aca="false">C16*1.35</f>
        <v>8.1</v>
      </c>
      <c r="D69" s="85" t="n">
        <f aca="false">D16*1.35</f>
        <v>8.1</v>
      </c>
      <c r="E69" s="85" t="n">
        <f aca="false">E16*1.35</f>
        <v>6.75</v>
      </c>
      <c r="F69" s="85" t="n">
        <f aca="false">F16*1.35</f>
        <v>6.75</v>
      </c>
      <c r="G69" s="85" t="n">
        <f aca="false">G16*1.35</f>
        <v>5.4</v>
      </c>
      <c r="H69" s="85" t="n">
        <f aca="false">H16*1.35</f>
        <v>4.05</v>
      </c>
      <c r="I69" s="85" t="n">
        <f aca="false">I16*1.35</f>
        <v>12.15</v>
      </c>
      <c r="J69" s="85" t="n">
        <f aca="false">J16*1.35</f>
        <v>6.75</v>
      </c>
      <c r="K69" s="85" t="n">
        <f aca="false">K16*1.35</f>
        <v>10.125</v>
      </c>
      <c r="L69" s="85" t="n">
        <f aca="false">L16*1.35</f>
        <v>6.75</v>
      </c>
      <c r="M69" s="85" t="n">
        <f aca="false">M16*1.35</f>
        <v>12.15</v>
      </c>
      <c r="N69" s="85" t="n">
        <f aca="false">N16*1.35</f>
        <v>12.15</v>
      </c>
      <c r="O69" s="85"/>
      <c r="P69" s="77"/>
    </row>
    <row r="70" customFormat="false" ht="32.8" hidden="false" customHeight="false" outlineLevel="0" collapsed="false">
      <c r="B70" s="73" t="s">
        <v>794</v>
      </c>
      <c r="C70" s="96" t="n">
        <f aca="false">MAX(0,ROUNDDOWN((C69-C14)*1000/C12,0))</f>
        <v>1</v>
      </c>
      <c r="D70" s="96" t="n">
        <f aca="false">MAX(0,ROUNDDOWN((D69-D14)*1000/D12,0))</f>
        <v>1</v>
      </c>
      <c r="E70" s="96" t="n">
        <f aca="false">MAX(0,ROUNDDOWN((E69-E14)*1000/E12,0))</f>
        <v>0</v>
      </c>
      <c r="F70" s="96" t="n">
        <f aca="false">MAX(0,ROUNDDOWN((F69-F14)*1000/F12,0))</f>
        <v>0</v>
      </c>
      <c r="G70" s="96" t="n">
        <f aca="false">MAX(0,ROUNDDOWN((G69-G14)*1000/G12,0))</f>
        <v>0</v>
      </c>
      <c r="H70" s="96" t="n">
        <f aca="false">MAX(0,ROUNDDOWN((H69-H14)*1000/H12,0))</f>
        <v>0</v>
      </c>
      <c r="I70" s="96" t="n">
        <f aca="false">MAX(0,ROUNDDOWN((I69-I14)*1000/I12,0))</f>
        <v>8</v>
      </c>
      <c r="J70" s="96" t="n">
        <f aca="false">MAX(0,ROUNDDOWN((J69-J14)*1000/J12,0))</f>
        <v>1</v>
      </c>
      <c r="K70" s="96" t="n">
        <f aca="false">MAX(0,ROUNDDOWN((K69-K14)*1000/K12,0))</f>
        <v>5</v>
      </c>
      <c r="L70" s="96" t="n">
        <f aca="false">MAX(0,ROUNDDOWN((L69-L14)*1000/L12,0))</f>
        <v>2</v>
      </c>
      <c r="M70" s="96" t="n">
        <f aca="false">MAX(0,ROUNDDOWN((M69-M14)*1000/M12,0))</f>
        <v>6</v>
      </c>
      <c r="N70" s="96" t="n">
        <f aca="false">MAX(0,ROUNDDOWN((N69-N14)*1000/N12,0))</f>
        <v>4</v>
      </c>
      <c r="O70" s="96"/>
      <c r="P70" s="76" t="s">
        <v>795</v>
      </c>
    </row>
    <row r="71" customFormat="false" ht="28.35" hidden="false" customHeight="false" outlineLevel="0" collapsed="false">
      <c r="B71" s="78" t="s">
        <v>796</v>
      </c>
      <c r="C71" s="79" t="s">
        <v>797</v>
      </c>
      <c r="D71" s="79" t="s">
        <v>797</v>
      </c>
      <c r="E71" s="79" t="s">
        <v>798</v>
      </c>
      <c r="F71" s="79" t="s">
        <v>798</v>
      </c>
      <c r="G71" s="79" t="s">
        <v>798</v>
      </c>
      <c r="H71" s="79" t="s">
        <v>799</v>
      </c>
      <c r="I71" s="79" t="s">
        <v>800</v>
      </c>
      <c r="J71" s="79" t="s">
        <v>801</v>
      </c>
      <c r="K71" s="79" t="s">
        <v>802</v>
      </c>
      <c r="L71" s="79" t="s">
        <v>803</v>
      </c>
      <c r="M71" s="79" t="s">
        <v>804</v>
      </c>
      <c r="N71" s="79" t="s">
        <v>805</v>
      </c>
      <c r="O71" s="79"/>
      <c r="P71" s="77" t="s">
        <v>806</v>
      </c>
    </row>
    <row r="72" customFormat="false" ht="15" hidden="false" customHeight="false" outlineLevel="0" collapsed="false">
      <c r="B72" s="78" t="s">
        <v>807</v>
      </c>
      <c r="C72" s="82" t="n">
        <f aca="false">C70*C12/1000*GERACAO!$I$17</f>
        <v>777.525431925</v>
      </c>
      <c r="D72" s="82" t="n">
        <f aca="false">D70*D12/1000*GERACAO!$I$17</f>
        <v>764.882741975</v>
      </c>
      <c r="E72" s="82" t="n">
        <f aca="false">E70*E12/1000*GERACAO!$I$17</f>
        <v>0</v>
      </c>
      <c r="F72" s="82" t="n">
        <f aca="false">F70*F12/1000*GERACAO!$I$17</f>
        <v>0</v>
      </c>
      <c r="G72" s="82" t="n">
        <f aca="false">G70*G12/1000*GERACAO!$I$17</f>
        <v>0</v>
      </c>
      <c r="H72" s="82" t="n">
        <f aca="false">H70*H12/1000*GERACAO!$I$17</f>
        <v>0</v>
      </c>
      <c r="I72" s="82" t="n">
        <f aca="false">I70*I12/1000*GERACAO!$I$17</f>
        <v>6574.198774</v>
      </c>
      <c r="J72" s="82" t="n">
        <f aca="false">J70*J12/1000*GERACAO!$I$17</f>
        <v>745.91870705</v>
      </c>
      <c r="K72" s="82" t="n">
        <f aca="false">K70*K12/1000*GERACAO!$I$17</f>
        <v>3919.2338845</v>
      </c>
      <c r="L72" s="82" t="n">
        <f aca="false">L70*L12/1000*GERACAO!$I$17</f>
        <v>1555.05086385</v>
      </c>
      <c r="M72" s="82" t="n">
        <f aca="false">M70*M12/1000*GERACAO!$I$17</f>
        <v>4930.6490805</v>
      </c>
      <c r="N72" s="82" t="n">
        <f aca="false">N70*N12/1000*GERACAO!$I$17</f>
        <v>3287.099387</v>
      </c>
      <c r="O72" s="82"/>
      <c r="P72" s="77"/>
    </row>
    <row r="73" customFormat="false" ht="23.85" hidden="false" customHeight="false" outlineLevel="0" collapsed="false">
      <c r="B73" s="73" t="s">
        <v>808</v>
      </c>
      <c r="C73" s="74" t="str">
        <f aca="false">IF(C18&gt;1.35,"JA SOBRECARREGADO",IF(C18&lt;1.1,"SUBAPROVEITADO","OK"))</f>
        <v>OK</v>
      </c>
      <c r="D73" s="74" t="str">
        <f aca="false">IF(D18&gt;1.35,"JA SOBRECARREGADO",IF(D18&lt;1.1,"SUBAPROVEITADO","OK"))</f>
        <v>OK</v>
      </c>
      <c r="E73" s="74" t="str">
        <f aca="false">IF(E18&gt;1.35,"JA SOBRECARREGADO",IF(E18&lt;1.1,"SUBAPROVEITADO","OK"))</f>
        <v>OK</v>
      </c>
      <c r="F73" s="74" t="str">
        <f aca="false">IF(F18&gt;1.35,"JA SOBRECARREGADO",IF(F18&lt;1.1,"SUBAPROVEITADO","OK"))</f>
        <v>OK</v>
      </c>
      <c r="G73" s="74" t="str">
        <f aca="false">IF(G18&gt;1.35,"JA SOBRECARREGADO",IF(G18&lt;1.1,"SUBAPROVEITADO","OK"))</f>
        <v>OK</v>
      </c>
      <c r="H73" s="74" t="str">
        <f aca="false">IF(H18&gt;1.35,"JA SOBRECARREGADO",IF(H18&lt;1.1,"SUBAPROVEITADO","OK"))</f>
        <v>JA SOBRECARREGADO</v>
      </c>
      <c r="I73" s="74" t="str">
        <f aca="false">IF(I18&gt;1.35,"JA SOBRECARREGADO",IF(I18&lt;1.1,"SUBAPROVEITADO","OK"))</f>
        <v>SUBAPROVEITADO</v>
      </c>
      <c r="J73" s="74" t="str">
        <f aca="false">IF(J18&gt;1.35,"JA SOBRECARREGADO",IF(J18&lt;1.1,"SUBAPROVEITADO","OK"))</f>
        <v>OK</v>
      </c>
      <c r="K73" s="74" t="str">
        <f aca="false">IF(K18&gt;1.35,"JA SOBRECARREGADO",IF(K18&lt;1.1,"SUBAPROVEITADO","OK"))</f>
        <v>SUBAPROVEITADO</v>
      </c>
      <c r="L73" s="74" t="str">
        <f aca="false">IF(L18&gt;1.35,"JA SOBRECARREGADO",IF(L18&lt;1.1,"SUBAPROVEITADO","OK"))</f>
        <v>SUBAPROVEITADO</v>
      </c>
      <c r="M73" s="74" t="str">
        <f aca="false">IF(M18&gt;1.35,"JA SOBRECARREGADO",IF(M18&lt;1.1,"SUBAPROVEITADO","OK"))</f>
        <v>SUBAPROVEITADO</v>
      </c>
      <c r="N73" s="74" t="str">
        <f aca="false">IF(N18&gt;1.35,"JA SOBRECARREGADO",IF(N18&lt;1.1,"SUBAPROVEITADO","OK"))</f>
        <v>SUBAPROVEITADO</v>
      </c>
      <c r="O73" s="74"/>
      <c r="P73" s="77" t="s">
        <v>809</v>
      </c>
    </row>
    <row r="75" customFormat="false" ht="15" hidden="false" customHeight="false" outlineLevel="0" collapsed="false">
      <c r="B75" s="7" t="s">
        <v>810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customFormat="false" ht="15" hidden="false" customHeight="false" outlineLevel="0" collapsed="false">
      <c r="B76" s="21" t="s">
        <v>811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812</v>
      </c>
      <c r="C77" s="29" t="n">
        <f aca="false">IFERROR(F61-E61,0)</f>
        <v>0.156773349995845</v>
      </c>
    </row>
    <row r="78" customFormat="false" ht="15" hidden="false" customHeight="false" outlineLevel="0" collapsed="false">
      <c r="B78" s="4" t="s">
        <v>813</v>
      </c>
      <c r="C78" s="102" t="n">
        <f aca="false">F65-E65</f>
        <v>-1000</v>
      </c>
    </row>
    <row r="80" customFormat="false" ht="15" hidden="false" customHeight="false" outlineLevel="0" collapsed="false">
      <c r="B80" s="5" t="s">
        <v>814</v>
      </c>
    </row>
    <row r="81" customFormat="false" ht="15" hidden="false" customHeight="false" outlineLevel="0" collapsed="false">
      <c r="B81" s="4" t="s">
        <v>815</v>
      </c>
    </row>
    <row r="82" customFormat="false" ht="15" hidden="false" customHeight="false" outlineLevel="0" collapsed="false">
      <c r="B82" s="4" t="s">
        <v>816</v>
      </c>
    </row>
    <row r="83" customFormat="false" ht="15" hidden="false" customHeight="false" outlineLevel="0" collapsed="false">
      <c r="B83" s="4" t="s">
        <v>817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818</v>
      </c>
    </row>
    <row r="86" customFormat="false" ht="15" hidden="false" customHeight="false" outlineLevel="0" collapsed="false">
      <c r="B86" s="4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820</v>
      </c>
    </row>
    <row r="2" customFormat="false" ht="15" hidden="false" customHeight="false" outlineLevel="0" collapsed="false">
      <c r="A2" s="2" t="s">
        <v>821</v>
      </c>
    </row>
    <row r="4" customFormat="false" ht="49.5" hidden="false" customHeight="true" outlineLevel="0" collapsed="false">
      <c r="B4" s="17" t="s">
        <v>571</v>
      </c>
      <c r="C4" s="17" t="s">
        <v>822</v>
      </c>
      <c r="D4" s="17" t="s">
        <v>823</v>
      </c>
      <c r="E4" s="17" t="s">
        <v>824</v>
      </c>
      <c r="F4" s="17" t="s">
        <v>825</v>
      </c>
    </row>
    <row r="5" customFormat="false" ht="23.85" hidden="false" customHeight="false" outlineLevel="0" collapsed="false">
      <c r="B5" s="18" t="s">
        <v>826</v>
      </c>
      <c r="C5" s="54" t="s">
        <v>827</v>
      </c>
      <c r="D5" s="54" t="s">
        <v>828</v>
      </c>
      <c r="E5" s="54" t="s">
        <v>829</v>
      </c>
      <c r="F5" s="103" t="s">
        <v>830</v>
      </c>
    </row>
    <row r="6" customFormat="false" ht="23.85" hidden="false" customHeight="false" outlineLevel="0" collapsed="false">
      <c r="B6" s="18" t="s">
        <v>657</v>
      </c>
      <c r="C6" s="54" t="s">
        <v>831</v>
      </c>
      <c r="D6" s="54" t="s">
        <v>831</v>
      </c>
      <c r="E6" s="54" t="s">
        <v>832</v>
      </c>
      <c r="F6" s="103" t="s">
        <v>833</v>
      </c>
    </row>
    <row r="7" customFormat="false" ht="32.8" hidden="false" customHeight="false" outlineLevel="0" collapsed="false">
      <c r="B7" s="18" t="s">
        <v>834</v>
      </c>
      <c r="C7" s="54" t="s">
        <v>835</v>
      </c>
      <c r="D7" s="54" t="s">
        <v>835</v>
      </c>
      <c r="E7" s="54" t="s">
        <v>836</v>
      </c>
      <c r="F7" s="104" t="s">
        <v>837</v>
      </c>
    </row>
    <row r="8" customFormat="false" ht="23.85" hidden="false" customHeight="false" outlineLevel="0" collapsed="false">
      <c r="B8" s="18" t="s">
        <v>838</v>
      </c>
      <c r="C8" s="54" t="s">
        <v>839</v>
      </c>
      <c r="D8" s="54" t="s">
        <v>840</v>
      </c>
      <c r="E8" s="54" t="s">
        <v>841</v>
      </c>
      <c r="F8" s="103" t="s">
        <v>842</v>
      </c>
    </row>
    <row r="9" customFormat="false" ht="15" hidden="false" customHeight="false" outlineLevel="0" collapsed="false">
      <c r="B9" s="18" t="s">
        <v>843</v>
      </c>
      <c r="C9" s="54" t="s">
        <v>844</v>
      </c>
      <c r="D9" s="54" t="s">
        <v>844</v>
      </c>
      <c r="E9" s="54" t="s">
        <v>845</v>
      </c>
      <c r="F9" s="103" t="s">
        <v>846</v>
      </c>
    </row>
    <row r="10" customFormat="false" ht="15" hidden="false" customHeight="false" outlineLevel="0" collapsed="false">
      <c r="B10" s="18" t="s">
        <v>847</v>
      </c>
      <c r="C10" s="54" t="s">
        <v>848</v>
      </c>
      <c r="D10" s="54" t="s">
        <v>848</v>
      </c>
      <c r="E10" s="54" t="s">
        <v>849</v>
      </c>
      <c r="F10" s="103" t="s">
        <v>850</v>
      </c>
    </row>
    <row r="11" customFormat="false" ht="22.35" hidden="false" customHeight="false" outlineLevel="0" collapsed="false">
      <c r="B11" s="18" t="s">
        <v>851</v>
      </c>
      <c r="C11" s="54" t="s">
        <v>852</v>
      </c>
      <c r="D11" s="54" t="s">
        <v>853</v>
      </c>
      <c r="E11" s="54" t="s">
        <v>854</v>
      </c>
      <c r="F11" s="104" t="s">
        <v>855</v>
      </c>
    </row>
    <row r="12" customFormat="false" ht="23.85" hidden="false" customHeight="false" outlineLevel="0" collapsed="false">
      <c r="B12" s="18" t="s">
        <v>856</v>
      </c>
      <c r="C12" s="54" t="s">
        <v>857</v>
      </c>
      <c r="D12" s="54" t="s">
        <v>858</v>
      </c>
      <c r="E12" s="54" t="s">
        <v>859</v>
      </c>
      <c r="F12" s="103" t="s">
        <v>860</v>
      </c>
    </row>
    <row r="13" customFormat="false" ht="22.35" hidden="false" customHeight="false" outlineLevel="0" collapsed="false">
      <c r="B13" s="18" t="s">
        <v>861</v>
      </c>
      <c r="C13" s="54" t="s">
        <v>862</v>
      </c>
      <c r="D13" s="105" t="s">
        <v>863</v>
      </c>
      <c r="E13" s="54" t="s">
        <v>864</v>
      </c>
      <c r="F13" s="104" t="s">
        <v>865</v>
      </c>
    </row>
    <row r="14" customFormat="false" ht="15" hidden="false" customHeight="false" outlineLevel="0" collapsed="false">
      <c r="B14" s="18" t="s">
        <v>866</v>
      </c>
      <c r="C14" s="54" t="s">
        <v>867</v>
      </c>
      <c r="D14" s="54" t="s">
        <v>867</v>
      </c>
      <c r="E14" s="54" t="s">
        <v>868</v>
      </c>
      <c r="F14" s="103" t="s">
        <v>869</v>
      </c>
    </row>
    <row r="15" customFormat="false" ht="23.85" hidden="false" customHeight="false" outlineLevel="0" collapsed="false">
      <c r="B15" s="18" t="s">
        <v>870</v>
      </c>
      <c r="C15" s="105" t="s">
        <v>863</v>
      </c>
      <c r="D15" s="105" t="s">
        <v>863</v>
      </c>
      <c r="E15" s="54" t="s">
        <v>871</v>
      </c>
      <c r="F15" s="104" t="s">
        <v>872</v>
      </c>
    </row>
    <row r="16" customFormat="false" ht="15" hidden="false" customHeight="false" outlineLevel="0" collapsed="false">
      <c r="B16" s="18" t="s">
        <v>873</v>
      </c>
      <c r="C16" s="54" t="s">
        <v>874</v>
      </c>
      <c r="D16" s="54" t="s">
        <v>874</v>
      </c>
      <c r="E16" s="54" t="s">
        <v>875</v>
      </c>
      <c r="F16" s="103" t="s">
        <v>876</v>
      </c>
    </row>
    <row r="17" customFormat="false" ht="15" hidden="false" customHeight="false" outlineLevel="0" collapsed="false">
      <c r="B17" s="18" t="s">
        <v>877</v>
      </c>
      <c r="C17" s="105" t="s">
        <v>863</v>
      </c>
      <c r="D17" s="105" t="s">
        <v>863</v>
      </c>
      <c r="E17" s="54" t="s">
        <v>878</v>
      </c>
      <c r="F17" s="104" t="s">
        <v>879</v>
      </c>
    </row>
    <row r="18" customFormat="false" ht="23.85" hidden="false" customHeight="false" outlineLevel="0" collapsed="false">
      <c r="B18" s="18" t="s">
        <v>880</v>
      </c>
      <c r="C18" s="54" t="s">
        <v>881</v>
      </c>
      <c r="D18" s="105" t="s">
        <v>882</v>
      </c>
      <c r="E18" s="54" t="s">
        <v>883</v>
      </c>
      <c r="F18" s="104" t="s">
        <v>884</v>
      </c>
    </row>
    <row r="19" customFormat="false" ht="19.4" hidden="false" customHeight="false" outlineLevel="0" collapsed="false">
      <c r="B19" s="18" t="s">
        <v>885</v>
      </c>
      <c r="C19" s="54" t="s">
        <v>886</v>
      </c>
      <c r="D19" s="54" t="s">
        <v>887</v>
      </c>
      <c r="E19" s="54" t="s">
        <v>888</v>
      </c>
      <c r="F19" s="103" t="s">
        <v>889</v>
      </c>
    </row>
    <row r="20" customFormat="false" ht="19.4" hidden="false" customHeight="false" outlineLevel="0" collapsed="false">
      <c r="B20" s="18" t="s">
        <v>890</v>
      </c>
      <c r="C20" s="54" t="s">
        <v>891</v>
      </c>
      <c r="D20" s="54" t="s">
        <v>891</v>
      </c>
      <c r="E20" s="54" t="s">
        <v>891</v>
      </c>
      <c r="F20" s="103" t="s">
        <v>892</v>
      </c>
    </row>
    <row r="22" customFormat="false" ht="15" hidden="false" customHeight="false" outlineLevel="0" collapsed="false">
      <c r="B22" s="3" t="s">
        <v>893</v>
      </c>
    </row>
    <row r="23" customFormat="false" ht="15" hidden="false" customHeight="false" outlineLevel="0" collapsed="false">
      <c r="B23" s="17" t="s">
        <v>894</v>
      </c>
      <c r="C23" s="17" t="s">
        <v>895</v>
      </c>
      <c r="D23" s="17" t="s">
        <v>896</v>
      </c>
      <c r="E23" s="17" t="s">
        <v>897</v>
      </c>
    </row>
    <row r="24" customFormat="false" ht="15" hidden="false" customHeight="false" outlineLevel="0" collapsed="false">
      <c r="B24" s="4" t="s">
        <v>898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899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900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901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902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903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904</v>
      </c>
      <c r="C31" s="106" t="n">
        <f aca="false">IFERROR(C28/(C30*1000),0)</f>
        <v>2.4700135501355</v>
      </c>
      <c r="D31" s="106" t="n">
        <f aca="false">IFERROR(D28/(D30*1000),0)</f>
        <v>2.38400826446281</v>
      </c>
      <c r="E31" s="106" t="n">
        <f aca="false">IFERROR(E28/(E30*1000),0)</f>
        <v>2.08577757009346</v>
      </c>
    </row>
    <row r="33" customFormat="false" ht="15" hidden="false" customHeight="false" outlineLevel="0" collapsed="false">
      <c r="B33" s="4" t="s">
        <v>905</v>
      </c>
      <c r="C33" s="4" t="s">
        <v>906</v>
      </c>
    </row>
    <row r="34" customFormat="false" ht="15" hidden="false" customHeight="false" outlineLevel="0" collapsed="false">
      <c r="B34" s="21" t="s">
        <v>907</v>
      </c>
      <c r="C34" s="107" t="n">
        <f aca="false">IFERROR(7690/E28,0)</f>
        <v>0.689135408386661</v>
      </c>
      <c r="D34" s="2" t="s">
        <v>908</v>
      </c>
    </row>
    <row r="35" customFormat="false" ht="15" hidden="false" customHeight="false" outlineLevel="0" collapsed="false">
      <c r="B35" s="21" t="s">
        <v>909</v>
      </c>
      <c r="C35" s="23" t="n">
        <f aca="false">C28+790+6900/10*12</f>
        <v>27298.7</v>
      </c>
      <c r="D35" s="2" t="s">
        <v>910</v>
      </c>
    </row>
    <row r="37" customFormat="false" ht="15" hidden="false" customHeight="false" outlineLevel="0" collapsed="false">
      <c r="B37" s="3" t="s">
        <v>911</v>
      </c>
    </row>
    <row r="38" customFormat="false" ht="15" hidden="false" customHeight="false" outlineLevel="0" collapsed="false">
      <c r="B38" s="4" t="s">
        <v>912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913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914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915</v>
      </c>
      <c r="C41" s="36" t="n">
        <f aca="false">IFERROR(C38/C40,0)</f>
        <v>5.94181274517766</v>
      </c>
      <c r="D41" s="2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5" min="3" style="0" width="15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917</v>
      </c>
    </row>
    <row r="2" customFormat="false" ht="15" hidden="false" customHeight="false" outlineLevel="0" collapsed="false">
      <c r="A2" s="2" t="s">
        <v>918</v>
      </c>
    </row>
    <row r="4" customFormat="false" ht="33.75" hidden="false" customHeight="true" outlineLevel="0" collapsed="false">
      <c r="B4" s="17" t="s">
        <v>919</v>
      </c>
      <c r="C4" s="17" t="s">
        <v>920</v>
      </c>
      <c r="D4" s="17" t="s">
        <v>921</v>
      </c>
      <c r="E4" s="17" t="s">
        <v>922</v>
      </c>
      <c r="F4" s="17" t="s">
        <v>923</v>
      </c>
      <c r="G4" s="17" t="s">
        <v>924</v>
      </c>
      <c r="H4" s="17" t="s">
        <v>925</v>
      </c>
      <c r="I4" s="17" t="s">
        <v>926</v>
      </c>
      <c r="J4" s="17" t="s">
        <v>927</v>
      </c>
      <c r="K4" s="17" t="s">
        <v>928</v>
      </c>
      <c r="L4" s="17" t="s">
        <v>929</v>
      </c>
      <c r="M4" s="17" t="s">
        <v>930</v>
      </c>
      <c r="N4" s="17" t="s">
        <v>931</v>
      </c>
      <c r="O4" s="17" t="s">
        <v>932</v>
      </c>
      <c r="P4" s="17" t="s">
        <v>933</v>
      </c>
    </row>
    <row r="5" customFormat="false" ht="15" hidden="false" customHeight="false" outlineLevel="0" collapsed="false">
      <c r="B5" s="4" t="s">
        <v>934</v>
      </c>
      <c r="C5" s="39" t="n">
        <f aca="false">BYD!$G$35</f>
        <v>10195.4929540833</v>
      </c>
      <c r="D5" s="39" t="n">
        <f aca="false">BYD!$G$35</f>
        <v>10195.4929540833</v>
      </c>
      <c r="E5" s="39" t="n">
        <f aca="false">BYD!$G$35</f>
        <v>10195.4929540833</v>
      </c>
      <c r="F5" s="39" t="n">
        <f aca="false">BYD!$G$35</f>
        <v>10195.4929540833</v>
      </c>
      <c r="G5" s="39" t="n">
        <f aca="false">BYD!$G$35</f>
        <v>10195.4929540833</v>
      </c>
      <c r="H5" s="39" t="n">
        <f aca="false">BYD!$G$35</f>
        <v>10195.4929540833</v>
      </c>
      <c r="I5" s="39" t="n">
        <f aca="false">BYD!$G$35</f>
        <v>10195.4929540833</v>
      </c>
      <c r="J5" s="39" t="n">
        <f aca="false">BYD!$G$35</f>
        <v>10195.4929540833</v>
      </c>
      <c r="K5" s="39" t="n">
        <f aca="false">BYD!$G$35</f>
        <v>10195.4929540833</v>
      </c>
      <c r="L5" s="39" t="n">
        <f aca="false">BYD!$G$35</f>
        <v>10195.4929540833</v>
      </c>
      <c r="M5" s="39" t="n">
        <f aca="false">BYD!$G$35</f>
        <v>10195.4929540833</v>
      </c>
      <c r="N5" s="39" t="n">
        <f aca="false">BYD!$G$35</f>
        <v>10195.4929540833</v>
      </c>
      <c r="O5" s="108"/>
      <c r="P5" s="77" t="s">
        <v>935</v>
      </c>
    </row>
    <row r="6" customFormat="false" ht="15" hidden="false" customHeight="false" outlineLevel="0" collapsed="false">
      <c r="B6" s="4" t="s">
        <v>936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6220.2034554</v>
      </c>
      <c r="M6" s="39" t="n">
        <f aca="false">COMPARATIVO!M39</f>
        <v>9861.298161</v>
      </c>
      <c r="N6" s="39" t="n">
        <f aca="false">COMPARATIVO!N39</f>
        <v>11504.8478545</v>
      </c>
      <c r="O6" s="108"/>
      <c r="P6" s="77" t="s">
        <v>937</v>
      </c>
    </row>
    <row r="7" customFormat="false" ht="15" hidden="false" customHeight="false" outlineLevel="0" collapsed="false">
      <c r="B7" s="4" t="s">
        <v>938</v>
      </c>
      <c r="C7" s="109" t="n">
        <f aca="false">ENTRADAS!$C$18</f>
        <v>1.02147</v>
      </c>
      <c r="D7" s="109" t="n">
        <f aca="false">ENTRADAS!$C$18</f>
        <v>1.02147</v>
      </c>
      <c r="E7" s="109" t="n">
        <f aca="false">ENTRADAS!$C$18</f>
        <v>1.02147</v>
      </c>
      <c r="F7" s="109" t="n">
        <f aca="false">ENTRADAS!$C$18</f>
        <v>1.02147</v>
      </c>
      <c r="G7" s="109" t="n">
        <f aca="false">ENTRADAS!$C$18</f>
        <v>1.02147</v>
      </c>
      <c r="H7" s="109" t="n">
        <f aca="false">ENTRADAS!$C$18</f>
        <v>1.02147</v>
      </c>
      <c r="I7" s="109" t="n">
        <f aca="false">ENTRADAS!$C$18</f>
        <v>1.02147</v>
      </c>
      <c r="J7" s="109" t="n">
        <f aca="false">ENTRADAS!$C$18</f>
        <v>1.02147</v>
      </c>
      <c r="K7" s="109" t="n">
        <f aca="false">ENTRADAS!$C$18</f>
        <v>1.02147</v>
      </c>
      <c r="L7" s="109" t="n">
        <f aca="false">ENTRADAS!$C$18</f>
        <v>1.02147</v>
      </c>
      <c r="M7" s="109" t="n">
        <f aca="false">ENTRADAS!$C$18</f>
        <v>1.02147</v>
      </c>
      <c r="N7" s="109" t="n">
        <f aca="false">ENTRADAS!$C$18</f>
        <v>1.02147</v>
      </c>
      <c r="O7" s="108"/>
      <c r="P7" s="77" t="s">
        <v>939</v>
      </c>
    </row>
    <row r="8" customFormat="false" ht="15" hidden="false" customHeight="false" outlineLevel="0" collapsed="false">
      <c r="B8" s="21" t="s">
        <v>940</v>
      </c>
      <c r="C8" s="110" t="n">
        <f aca="false">C5*C7+ENTRADAS!$C$26*12</f>
        <v>10667.7101878075</v>
      </c>
      <c r="D8" s="110" t="n">
        <f aca="false">D5*D7+ENTRADAS!$C$26*12</f>
        <v>10667.7101878075</v>
      </c>
      <c r="E8" s="110" t="n">
        <f aca="false">E5*E7+ENTRADAS!$C$26*12</f>
        <v>10667.7101878075</v>
      </c>
      <c r="F8" s="110" t="n">
        <f aca="false">F5*F7+ENTRADAS!$C$26*12</f>
        <v>10667.7101878075</v>
      </c>
      <c r="G8" s="110" t="n">
        <f aca="false">G5*G7+ENTRADAS!$C$26*12</f>
        <v>10667.7101878075</v>
      </c>
      <c r="H8" s="110" t="n">
        <f aca="false">H5*H7+ENTRADAS!$C$26*12</f>
        <v>10667.7101878075</v>
      </c>
      <c r="I8" s="110" t="n">
        <f aca="false">I5*I7+ENTRADAS!$C$26*12</f>
        <v>10667.7101878075</v>
      </c>
      <c r="J8" s="110" t="n">
        <f aca="false">J5*J7+ENTRADAS!$C$26*12</f>
        <v>10667.7101878075</v>
      </c>
      <c r="K8" s="110" t="n">
        <f aca="false">K5*K7+ENTRADAS!$C$26*12</f>
        <v>10667.7101878075</v>
      </c>
      <c r="L8" s="110" t="n">
        <f aca="false">L5*L7+ENTRADAS!$C$26*12</f>
        <v>10667.7101878075</v>
      </c>
      <c r="M8" s="110" t="n">
        <f aca="false">M5*M7+ENTRADAS!$C$26*12</f>
        <v>10667.7101878075</v>
      </c>
      <c r="N8" s="110" t="n">
        <f aca="false">N5*N7+ENTRADAS!$C$26*12</f>
        <v>10667.7101878075</v>
      </c>
      <c r="O8" s="108"/>
      <c r="P8" s="77" t="s">
        <v>941</v>
      </c>
    </row>
    <row r="9" customFormat="false" ht="15" hidden="false" customHeight="false" outlineLevel="0" collapsed="false">
      <c r="B9" s="4" t="s">
        <v>942</v>
      </c>
      <c r="C9" s="39" t="n">
        <f aca="false">MIN(C5,C6)*ENTRADAS!$C$37</f>
        <v>2799.09155493</v>
      </c>
      <c r="D9" s="39" t="n">
        <f aca="false">MIN(D5,D6)*ENTRADAS!$C$37</f>
        <v>2753.57787111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2465.32454025</v>
      </c>
      <c r="J9" s="39" t="n">
        <f aca="false">MIN(J5,J6)*ENTRADAS!$C$37</f>
        <v>2237.75612115</v>
      </c>
      <c r="K9" s="39" t="n">
        <f aca="false">MIN(K5,K6)*ENTRADAS!$C$37</f>
        <v>2586.69436377</v>
      </c>
      <c r="L9" s="39" t="n">
        <f aca="false">MIN(L5,L6)*ENTRADAS!$C$37</f>
        <v>1866.06103662</v>
      </c>
      <c r="M9" s="39" t="n">
        <f aca="false">MIN(M5,M6)*ENTRADAS!$C$37</f>
        <v>2958.3894483</v>
      </c>
      <c r="N9" s="39" t="n">
        <f aca="false">MIN(N5,N6)*ENTRADAS!$C$37</f>
        <v>3058.647886225</v>
      </c>
      <c r="O9" s="108"/>
      <c r="P9" s="77" t="s">
        <v>943</v>
      </c>
    </row>
    <row r="10" customFormat="false" ht="15" hidden="false" customHeight="false" outlineLevel="0" collapsed="false">
      <c r="B10" s="4" t="s">
        <v>944</v>
      </c>
      <c r="C10" s="39" t="n">
        <f aca="false">C6-C9</f>
        <v>6531.21362817</v>
      </c>
      <c r="D10" s="39" t="n">
        <f aca="false">D6-D9</f>
        <v>6425.01503259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5752.42392725</v>
      </c>
      <c r="J10" s="39" t="n">
        <f aca="false">J6-J9</f>
        <v>5221.43094935</v>
      </c>
      <c r="K10" s="39" t="n">
        <f aca="false">K6-K9</f>
        <v>6035.62018213</v>
      </c>
      <c r="L10" s="39" t="n">
        <f aca="false">L6-L9</f>
        <v>4354.14241878</v>
      </c>
      <c r="M10" s="39" t="n">
        <f aca="false">M6-M9</f>
        <v>6902.9087127</v>
      </c>
      <c r="N10" s="39" t="n">
        <f aca="false">N6-N9</f>
        <v>8446.199968275</v>
      </c>
      <c r="O10" s="108"/>
      <c r="P10" s="77" t="s">
        <v>945</v>
      </c>
    </row>
    <row r="11" customFormat="false" ht="15" hidden="false" customHeight="false" outlineLevel="0" collapsed="false">
      <c r="B11" s="4" t="s">
        <v>946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39" t="n">
        <f aca="false">ENTRADAS!$C$17*12</f>
        <v>600</v>
      </c>
      <c r="N11" s="39" t="n">
        <f aca="false">ENTRADAS!$C$17*12</f>
        <v>600</v>
      </c>
      <c r="O11" s="108"/>
      <c r="P11" s="77" t="s">
        <v>947</v>
      </c>
    </row>
    <row r="12" customFormat="false" ht="15" hidden="false" customHeight="false" outlineLevel="0" collapsed="false">
      <c r="B12" s="4" t="s">
        <v>948</v>
      </c>
      <c r="C12" s="39" t="n">
        <f aca="false">MAX(0,MIN(C10,C5-C9-C11))</f>
        <v>6531.21362817</v>
      </c>
      <c r="D12" s="39" t="n">
        <f aca="false">MAX(0,MIN(D10,D5-D9-D11))</f>
        <v>6425.01503259</v>
      </c>
      <c r="E12" s="39" t="n">
        <f aca="false">MAX(0,MIN(E10,E5-E9-E11))</f>
        <v>5486.9274383</v>
      </c>
      <c r="F12" s="39" t="n">
        <f aca="false">MAX(0,MIN(F10,F5-F9-F11))</f>
        <v>5486.9274383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5752.42392725</v>
      </c>
      <c r="J12" s="39" t="n">
        <f aca="false">MAX(0,MIN(J10,J5-J9-J11))</f>
        <v>5221.43094935</v>
      </c>
      <c r="K12" s="39" t="n">
        <f aca="false">MAX(0,MIN(K10,K5-K9-K11))</f>
        <v>6035.62018213</v>
      </c>
      <c r="L12" s="39" t="n">
        <f aca="false">MAX(0,MIN(L10,L5-L9-L11))</f>
        <v>4354.14241878</v>
      </c>
      <c r="M12" s="39" t="n">
        <f aca="false">MAX(0,MIN(M10,M5-M9-M11))</f>
        <v>6637.10350578335</v>
      </c>
      <c r="N12" s="39" t="n">
        <f aca="false">MAX(0,MIN(N10,N5-N9-N11))</f>
        <v>6536.84506785834</v>
      </c>
      <c r="O12" s="108"/>
      <c r="P12" s="77" t="s">
        <v>949</v>
      </c>
    </row>
    <row r="13" customFormat="false" ht="15" hidden="false" customHeight="false" outlineLevel="0" collapsed="false">
      <c r="B13" s="4" t="s">
        <v>950</v>
      </c>
      <c r="C13" s="39" t="n">
        <f aca="false">C10-C12</f>
        <v>0</v>
      </c>
      <c r="D13" s="39" t="n">
        <f aca="false">D10-D12</f>
        <v>0</v>
      </c>
      <c r="E13" s="39" t="n">
        <f aca="false">E10-E12</f>
        <v>0</v>
      </c>
      <c r="F13" s="39" t="n">
        <f aca="false">F10-F12</f>
        <v>0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0</v>
      </c>
      <c r="J13" s="39" t="n">
        <f aca="false">J10-J12</f>
        <v>0</v>
      </c>
      <c r="K13" s="39" t="n">
        <f aca="false">K10-K12</f>
        <v>0</v>
      </c>
      <c r="L13" s="39" t="n">
        <f aca="false">L10-L12</f>
        <v>0</v>
      </c>
      <c r="M13" s="39" t="n">
        <f aca="false">M10-M12</f>
        <v>265.805206916653</v>
      </c>
      <c r="N13" s="39" t="n">
        <f aca="false">N10-N12</f>
        <v>1909.35490041665</v>
      </c>
      <c r="O13" s="108"/>
      <c r="P13" s="77" t="s">
        <v>951</v>
      </c>
    </row>
    <row r="14" customFormat="false" ht="15" hidden="false" customHeight="false" outlineLevel="0" collapsed="false">
      <c r="B14" s="4" t="s">
        <v>952</v>
      </c>
      <c r="C14" s="39" t="n">
        <f aca="false">MAX(C11,C5-C9-C12)</f>
        <v>865.187770983346</v>
      </c>
      <c r="D14" s="39" t="n">
        <f aca="false">MAX(D11,D5-D9-D12)</f>
        <v>1016.90005038335</v>
      </c>
      <c r="E14" s="39" t="n">
        <f aca="false">MAX(E11,E5-E9-E12)</f>
        <v>2357.02518508335</v>
      </c>
      <c r="F14" s="39" t="n">
        <f aca="false">MAX(F11,F5-F9-F12)</f>
        <v>2357.02518508335</v>
      </c>
      <c r="G14" s="39" t="n">
        <f aca="false">MAX(G11,G5-G9-G12)</f>
        <v>3431.65383083335</v>
      </c>
      <c r="H14" s="39" t="n">
        <f aca="false">MAX(H11,H5-H9-H12)</f>
        <v>4278.71405748335</v>
      </c>
      <c r="I14" s="39" t="n">
        <f aca="false">MAX(I11,I5-I9-I12)</f>
        <v>1977.74448658335</v>
      </c>
      <c r="J14" s="39" t="n">
        <f aca="false">MAX(J11,J5-J9-J12)</f>
        <v>2736.30588358335</v>
      </c>
      <c r="K14" s="39" t="n">
        <f aca="false">MAX(K11,K5-K9-K12)</f>
        <v>1573.17840818335</v>
      </c>
      <c r="L14" s="39" t="n">
        <f aca="false">MAX(L11,L5-L9-L12)</f>
        <v>3975.28949868335</v>
      </c>
      <c r="M14" s="39" t="n">
        <f aca="false">MAX(M11,M5-M9-M12)</f>
        <v>600</v>
      </c>
      <c r="N14" s="39" t="n">
        <f aca="false">MAX(N11,N5-N9-N12)</f>
        <v>600</v>
      </c>
      <c r="O14" s="108"/>
      <c r="P14" s="77" t="s">
        <v>953</v>
      </c>
    </row>
    <row r="15" customFormat="false" ht="15" hidden="false" customHeight="false" outlineLevel="0" collapsed="false">
      <c r="B15" s="4" t="s">
        <v>954</v>
      </c>
      <c r="C15" s="109" t="n">
        <f aca="false">C14*C7</f>
        <v>883.763352426359</v>
      </c>
      <c r="D15" s="109" t="n">
        <f aca="false">D14*D7</f>
        <v>1038.73289446508</v>
      </c>
      <c r="E15" s="109" t="n">
        <f aca="false">E14*E7</f>
        <v>2407.63051580709</v>
      </c>
      <c r="F15" s="109" t="n">
        <f aca="false">F14*F7</f>
        <v>2407.63051580709</v>
      </c>
      <c r="G15" s="109" t="n">
        <f aca="false">G14*G7</f>
        <v>3505.33143858134</v>
      </c>
      <c r="H15" s="109" t="n">
        <f aca="false">H14*H7</f>
        <v>4370.57804829751</v>
      </c>
      <c r="I15" s="109" t="n">
        <f aca="false">I14*I7</f>
        <v>2020.20666071029</v>
      </c>
      <c r="J15" s="109" t="n">
        <f aca="false">J14*J7</f>
        <v>2795.05437090388</v>
      </c>
      <c r="K15" s="109" t="n">
        <f aca="false">K14*K7</f>
        <v>1606.95454860704</v>
      </c>
      <c r="L15" s="109" t="n">
        <f aca="false">L14*L7</f>
        <v>4060.63896422008</v>
      </c>
      <c r="M15" s="109" t="n">
        <f aca="false">M14*M7</f>
        <v>612.882</v>
      </c>
      <c r="N15" s="109" t="n">
        <f aca="false">N14*N7</f>
        <v>612.882</v>
      </c>
      <c r="O15" s="108"/>
      <c r="P15" s="77"/>
    </row>
    <row r="16" customFormat="false" ht="15" hidden="false" customHeight="false" outlineLevel="0" collapsed="false">
      <c r="B16" s="4" t="s">
        <v>955</v>
      </c>
      <c r="C16" s="109" t="n">
        <f aca="false">C12*ENTRADAS!$C$25</f>
        <v>1402.3482279298</v>
      </c>
      <c r="D16" s="109" t="n">
        <f aca="false">D12*ENTRADAS!$C$25</f>
        <v>1379.54581771956</v>
      </c>
      <c r="E16" s="109" t="n">
        <f aca="false">E12*ENTRADAS!$C$25</f>
        <v>1178.1245275291</v>
      </c>
      <c r="F16" s="109" t="n">
        <f aca="false">F12*ENTRADAS!$C$25</f>
        <v>1178.1245275291</v>
      </c>
      <c r="G16" s="109" t="n">
        <f aca="false">G12*ENTRADAS!$C$25</f>
        <v>1016.60745520656</v>
      </c>
      <c r="H16" s="109" t="n">
        <f aca="false">H12*ENTRADAS!$C$25</f>
        <v>889.293998199383</v>
      </c>
      <c r="I16" s="109" t="n">
        <f aca="false">I12*ENTRADAS!$C$25</f>
        <v>1235.1305530547</v>
      </c>
      <c r="J16" s="109" t="n">
        <f aca="false">J12*ENTRADAS!$C$25</f>
        <v>1121.1185020035</v>
      </c>
      <c r="K16" s="109" t="n">
        <f aca="false">K12*ENTRADAS!$C$25</f>
        <v>1295.93698028201</v>
      </c>
      <c r="L16" s="109" t="n">
        <f aca="false">L12*ENTRADAS!$C$25</f>
        <v>934.898818619864</v>
      </c>
      <c r="M16" s="109" t="n">
        <f aca="false">M12*ENTRADAS!$C$25</f>
        <v>1425.08435182357</v>
      </c>
      <c r="N16" s="109" t="n">
        <f aca="false">N12*ENTRADAS!$C$25</f>
        <v>1403.55738137619</v>
      </c>
      <c r="O16" s="108"/>
      <c r="P16" s="77" t="s">
        <v>956</v>
      </c>
    </row>
    <row r="17" customFormat="false" ht="15" hidden="false" customHeight="false" outlineLevel="0" collapsed="false">
      <c r="B17" s="4" t="s">
        <v>957</v>
      </c>
      <c r="C17" s="109" t="n">
        <f aca="false">ENTRADAS!$C$26*12</f>
        <v>253.32</v>
      </c>
      <c r="D17" s="109" t="n">
        <f aca="false">ENTRADAS!$C$26*12</f>
        <v>253.32</v>
      </c>
      <c r="E17" s="109" t="n">
        <f aca="false">ENTRADAS!$C$26*12</f>
        <v>253.32</v>
      </c>
      <c r="F17" s="109" t="n">
        <f aca="false">ENTRADAS!$C$26*12</f>
        <v>253.32</v>
      </c>
      <c r="G17" s="109" t="n">
        <f aca="false">ENTRADAS!$C$26*12</f>
        <v>253.32</v>
      </c>
      <c r="H17" s="109" t="n">
        <f aca="false">ENTRADAS!$C$26*12</f>
        <v>253.32</v>
      </c>
      <c r="I17" s="109" t="n">
        <f aca="false">ENTRADAS!$C$26*12</f>
        <v>253.32</v>
      </c>
      <c r="J17" s="109" t="n">
        <f aca="false">ENTRADAS!$C$26*12</f>
        <v>253.32</v>
      </c>
      <c r="K17" s="109" t="n">
        <f aca="false">ENTRADAS!$C$26*12</f>
        <v>253.32</v>
      </c>
      <c r="L17" s="109" t="n">
        <f aca="false">ENTRADAS!$C$26*12</f>
        <v>253.32</v>
      </c>
      <c r="M17" s="109" t="n">
        <f aca="false">ENTRADAS!$C$26*12</f>
        <v>253.32</v>
      </c>
      <c r="N17" s="109" t="n">
        <f aca="false">ENTRADAS!$C$26*12</f>
        <v>253.32</v>
      </c>
      <c r="O17" s="108"/>
      <c r="P17" s="77" t="s">
        <v>958</v>
      </c>
    </row>
    <row r="18" customFormat="false" ht="15" hidden="false" customHeight="false" outlineLevel="0" collapsed="false">
      <c r="B18" s="21" t="s">
        <v>959</v>
      </c>
      <c r="C18" s="50" t="n">
        <f aca="false">C15+C16+C17</f>
        <v>2539.43158035616</v>
      </c>
      <c r="D18" s="50" t="n">
        <f aca="false">D15+D16+D17</f>
        <v>2671.59871218463</v>
      </c>
      <c r="E18" s="50" t="n">
        <f aca="false">E15+E16+E17</f>
        <v>3839.07504333618</v>
      </c>
      <c r="F18" s="50" t="n">
        <f aca="false">F15+F16+F17</f>
        <v>3839.07504333618</v>
      </c>
      <c r="G18" s="50" t="n">
        <f aca="false">G15+G16+G17</f>
        <v>4775.2588937879</v>
      </c>
      <c r="H18" s="50" t="n">
        <f aca="false">H15+H16+H17</f>
        <v>5513.1920464969</v>
      </c>
      <c r="I18" s="50" t="n">
        <f aca="false">I15+I16+I17</f>
        <v>3508.65721376499</v>
      </c>
      <c r="J18" s="50" t="n">
        <f aca="false">J15+J16+J17</f>
        <v>4169.49287290738</v>
      </c>
      <c r="K18" s="50" t="n">
        <f aca="false">K15+K16+K17</f>
        <v>3156.21152888905</v>
      </c>
      <c r="L18" s="50" t="n">
        <f aca="false">L15+L16+L17</f>
        <v>5248.85778283994</v>
      </c>
      <c r="M18" s="50" t="n">
        <f aca="false">M15+M16+M17</f>
        <v>2291.28635182357</v>
      </c>
      <c r="N18" s="50" t="n">
        <f aca="false">N15+N16+N17</f>
        <v>2269.75938137619</v>
      </c>
      <c r="O18" s="108"/>
      <c r="P18" s="77" t="s">
        <v>960</v>
      </c>
    </row>
    <row r="19" customFormat="false" ht="15" hidden="false" customHeight="false" outlineLevel="0" collapsed="false">
      <c r="B19" s="21" t="s">
        <v>961</v>
      </c>
      <c r="C19" s="50" t="n">
        <f aca="false">C18/12</f>
        <v>211.619298363013</v>
      </c>
      <c r="D19" s="50" t="n">
        <f aca="false">D18/12</f>
        <v>222.633226015386</v>
      </c>
      <c r="E19" s="50" t="n">
        <f aca="false">E18/12</f>
        <v>319.922920278015</v>
      </c>
      <c r="F19" s="50" t="n">
        <f aca="false">F18/12</f>
        <v>319.922920278015</v>
      </c>
      <c r="G19" s="50" t="n">
        <f aca="false">G18/12</f>
        <v>397.938241148992</v>
      </c>
      <c r="H19" s="50" t="n">
        <f aca="false">H18/12</f>
        <v>459.432670541408</v>
      </c>
      <c r="I19" s="50" t="n">
        <f aca="false">I18/12</f>
        <v>292.388101147082</v>
      </c>
      <c r="J19" s="50" t="n">
        <f aca="false">J18/12</f>
        <v>347.457739408948</v>
      </c>
      <c r="K19" s="50" t="n">
        <f aca="false">K18/12</f>
        <v>263.017627407421</v>
      </c>
      <c r="L19" s="50" t="n">
        <f aca="false">L18/12</f>
        <v>437.404815236662</v>
      </c>
      <c r="M19" s="50" t="n">
        <f aca="false">M18/12</f>
        <v>190.940529318631</v>
      </c>
      <c r="N19" s="50" t="n">
        <f aca="false">N18/12</f>
        <v>189.146615114683</v>
      </c>
      <c r="O19" s="108"/>
      <c r="P19" s="77" t="s">
        <v>962</v>
      </c>
    </row>
    <row r="20" customFormat="false" ht="15" hidden="false" customHeight="false" outlineLevel="0" collapsed="false">
      <c r="B20" s="4" t="s">
        <v>963</v>
      </c>
      <c r="C20" s="40" t="n">
        <f aca="false">IFERROR(1-C18/C8,0)</f>
        <v>0.76195157764423</v>
      </c>
      <c r="D20" s="40" t="n">
        <f aca="false">IFERROR(1-D18/D8,0)</f>
        <v>0.749562121097169</v>
      </c>
      <c r="E20" s="40" t="n">
        <f aca="false">IFERROR(1-E18/E8,0)</f>
        <v>0.640121921598134</v>
      </c>
      <c r="F20" s="40" t="n">
        <f aca="false">IFERROR(1-F18/F8,0)</f>
        <v>0.640121921598134</v>
      </c>
      <c r="G20" s="40" t="n">
        <f aca="false">IFERROR(1-G18/G8,0)</f>
        <v>0.552363271056454</v>
      </c>
      <c r="H20" s="40" t="n">
        <f aca="false">IFERROR(1-H18/H8,0)</f>
        <v>0.483188805335365</v>
      </c>
      <c r="I20" s="40" t="n">
        <f aca="false">IFERROR(1-I18/I8,0)</f>
        <v>0.671095562965785</v>
      </c>
      <c r="J20" s="40" t="n">
        <f aca="false">IFERROR(1-J18/J8,0)</f>
        <v>0.609148280230482</v>
      </c>
      <c r="K20" s="40" t="n">
        <f aca="false">IFERROR(1-K18/K8,0)</f>
        <v>0.704134113757947</v>
      </c>
      <c r="L20" s="40" t="n">
        <f aca="false">IFERROR(1-L18/L8,0)</f>
        <v>0.507967718429487</v>
      </c>
      <c r="M20" s="40" t="n">
        <f aca="false">IFERROR(1-M18/M8,0)</f>
        <v>0.785212917159827</v>
      </c>
      <c r="N20" s="40" t="n">
        <f aca="false">IFERROR(1-N18/N8,0)</f>
        <v>0.787230873222411</v>
      </c>
      <c r="O20" s="108"/>
      <c r="P20" s="77"/>
    </row>
    <row r="21" customFormat="false" ht="15" hidden="false" customHeight="false" outlineLevel="0" collapsed="false">
      <c r="B21" s="4" t="s">
        <v>964</v>
      </c>
      <c r="C21" s="109" t="n">
        <f aca="false">C8-C18</f>
        <v>8128.27860745136</v>
      </c>
      <c r="D21" s="109" t="n">
        <f aca="false">D8-D18</f>
        <v>7996.11147562288</v>
      </c>
      <c r="E21" s="109" t="n">
        <f aca="false">E8-E18</f>
        <v>6828.63514447133</v>
      </c>
      <c r="F21" s="109" t="n">
        <f aca="false">F8-F18</f>
        <v>6828.63514447133</v>
      </c>
      <c r="G21" s="109" t="n">
        <f aca="false">G8-G18</f>
        <v>5892.45129401962</v>
      </c>
      <c r="H21" s="109" t="n">
        <f aca="false">H8-H18</f>
        <v>5154.51814131062</v>
      </c>
      <c r="I21" s="109" t="n">
        <f aca="false">I8-I18</f>
        <v>7159.05297404253</v>
      </c>
      <c r="J21" s="109" t="n">
        <f aca="false">J8-J18</f>
        <v>6498.21731490014</v>
      </c>
      <c r="K21" s="109" t="n">
        <f aca="false">K8-K18</f>
        <v>7511.49865891847</v>
      </c>
      <c r="L21" s="109" t="n">
        <f aca="false">L8-L18</f>
        <v>5418.85240496757</v>
      </c>
      <c r="M21" s="109" t="n">
        <f aca="false">M8-M18</f>
        <v>8376.42383598395</v>
      </c>
      <c r="N21" s="109" t="n">
        <f aca="false">N8-N18</f>
        <v>8397.95080643133</v>
      </c>
      <c r="O21" s="108"/>
      <c r="P21" s="77"/>
    </row>
    <row r="22" customFormat="false" ht="15" hidden="false" customHeight="false" outlineLevel="0" collapsed="false">
      <c r="B22" s="4" t="s">
        <v>965</v>
      </c>
      <c r="C22" s="109" t="n">
        <f aca="false">ENTRADAS!$C$35</f>
        <v>300</v>
      </c>
      <c r="D22" s="109" t="n">
        <f aca="false">ENTRADAS!$C$35</f>
        <v>300</v>
      </c>
      <c r="E22" s="109" t="n">
        <f aca="false">ENTRADAS!$C$35</f>
        <v>300</v>
      </c>
      <c r="F22" s="109" t="n">
        <f aca="false">ENTRADAS!$C$35</f>
        <v>300</v>
      </c>
      <c r="G22" s="109" t="n">
        <f aca="false">ENTRADAS!$C$35</f>
        <v>300</v>
      </c>
      <c r="H22" s="109" t="n">
        <f aca="false">ENTRADAS!$C$35</f>
        <v>300</v>
      </c>
      <c r="I22" s="109" t="n">
        <f aca="false">ENTRADAS!$C$35</f>
        <v>300</v>
      </c>
      <c r="J22" s="109" t="n">
        <f aca="false">ENTRADAS!$C$35</f>
        <v>300</v>
      </c>
      <c r="K22" s="109" t="n">
        <f aca="false">ENTRADAS!$C$35</f>
        <v>300</v>
      </c>
      <c r="L22" s="109" t="n">
        <f aca="false">ENTRADAS!$C$35</f>
        <v>300</v>
      </c>
      <c r="M22" s="109" t="n">
        <f aca="false">ENTRADAS!$C$35</f>
        <v>300</v>
      </c>
      <c r="N22" s="109" t="n">
        <f aca="false">ENTRADAS!$C$35</f>
        <v>300</v>
      </c>
      <c r="O22" s="108"/>
      <c r="P22" s="77" t="s">
        <v>966</v>
      </c>
    </row>
    <row r="23" customFormat="false" ht="15" hidden="false" customHeight="false" outlineLevel="0" collapsed="false">
      <c r="B23" s="4" t="s">
        <v>967</v>
      </c>
      <c r="C23" s="109" t="n">
        <f aca="false">ENTRADAS!$C$36</f>
        <v>150</v>
      </c>
      <c r="D23" s="109" t="n">
        <f aca="false">ENTRADAS!$C$36</f>
        <v>150</v>
      </c>
      <c r="E23" s="109" t="n">
        <f aca="false">ENTRADAS!$C$36</f>
        <v>150</v>
      </c>
      <c r="F23" s="109" t="n">
        <f aca="false">ENTRADAS!$C$36</f>
        <v>150</v>
      </c>
      <c r="G23" s="109" t="n">
        <f aca="false">ENTRADAS!$C$36</f>
        <v>150</v>
      </c>
      <c r="H23" s="109" t="n">
        <f aca="false">ENTRADAS!$C$36</f>
        <v>150</v>
      </c>
      <c r="I23" s="109" t="n">
        <f aca="false">ENTRADAS!$C$36</f>
        <v>150</v>
      </c>
      <c r="J23" s="109" t="n">
        <f aca="false">ENTRADAS!$C$36</f>
        <v>150</v>
      </c>
      <c r="K23" s="109" t="n">
        <f aca="false">ENTRADAS!$C$36</f>
        <v>150</v>
      </c>
      <c r="L23" s="109" t="n">
        <f aca="false">ENTRADAS!$C$36</f>
        <v>150</v>
      </c>
      <c r="M23" s="109" t="n">
        <f aca="false">ENTRADAS!$C$36</f>
        <v>150</v>
      </c>
      <c r="N23" s="109" t="n">
        <f aca="false">ENTRADAS!$C$36</f>
        <v>150</v>
      </c>
      <c r="O23" s="108"/>
      <c r="P23" s="77" t="s">
        <v>968</v>
      </c>
    </row>
    <row r="24" customFormat="false" ht="15" hidden="false" customHeight="false" outlineLevel="0" collapsed="false">
      <c r="B24" s="4" t="s">
        <v>969</v>
      </c>
      <c r="C24" s="109" t="n">
        <f aca="false">0</f>
        <v>0</v>
      </c>
      <c r="D24" s="109" t="n">
        <f aca="false">0</f>
        <v>0</v>
      </c>
      <c r="E24" s="109" t="n">
        <f aca="false">0</f>
        <v>0</v>
      </c>
      <c r="F24" s="109" t="n">
        <f aca="false">0</f>
        <v>0</v>
      </c>
      <c r="G24" s="109" t="n">
        <f aca="false">0</f>
        <v>0</v>
      </c>
      <c r="H24" s="109" t="n">
        <f aca="false">0</f>
        <v>0</v>
      </c>
      <c r="I24" s="109" t="n">
        <f aca="false">0</f>
        <v>0</v>
      </c>
      <c r="J24" s="109" t="n">
        <f aca="false">0</f>
        <v>0</v>
      </c>
      <c r="K24" s="109" t="n">
        <f aca="false">0</f>
        <v>0</v>
      </c>
      <c r="L24" s="109" t="n">
        <f aca="false">0</f>
        <v>0</v>
      </c>
      <c r="M24" s="109" t="n">
        <f aca="false">0</f>
        <v>0</v>
      </c>
      <c r="N24" s="109" t="n">
        <f aca="false">0</f>
        <v>0</v>
      </c>
      <c r="O24" s="108"/>
      <c r="P24" s="77" t="s">
        <v>970</v>
      </c>
    </row>
    <row r="25" customFormat="false" ht="15" hidden="false" customHeight="false" outlineLevel="0" collapsed="false">
      <c r="B25" s="4" t="s">
        <v>971</v>
      </c>
      <c r="C25" s="109" t="n">
        <f aca="false">C22+C23</f>
        <v>450</v>
      </c>
      <c r="D25" s="109" t="n">
        <f aca="false">D22+D23</f>
        <v>450</v>
      </c>
      <c r="E25" s="109" t="n">
        <f aca="false">E22+E23</f>
        <v>450</v>
      </c>
      <c r="F25" s="109" t="n">
        <f aca="false">F22+F23</f>
        <v>450</v>
      </c>
      <c r="G25" s="109" t="n">
        <f aca="false">G22+G23</f>
        <v>450</v>
      </c>
      <c r="H25" s="109" t="n">
        <f aca="false">H22+H23</f>
        <v>450</v>
      </c>
      <c r="I25" s="109" t="n">
        <f aca="false">I22+I23</f>
        <v>450</v>
      </c>
      <c r="J25" s="109" t="n">
        <f aca="false">J22+J23</f>
        <v>450</v>
      </c>
      <c r="K25" s="109" t="n">
        <f aca="false">K22+K23</f>
        <v>450</v>
      </c>
      <c r="L25" s="109" t="n">
        <f aca="false">L22+L23</f>
        <v>450</v>
      </c>
      <c r="M25" s="109" t="n">
        <f aca="false">M22+M23</f>
        <v>450</v>
      </c>
      <c r="N25" s="109" t="n">
        <f aca="false">N22+N23</f>
        <v>450</v>
      </c>
      <c r="O25" s="108"/>
      <c r="P25" s="77"/>
    </row>
    <row r="26" customFormat="false" ht="15" hidden="false" customHeight="false" outlineLevel="0" collapsed="false">
      <c r="B26" s="21" t="s">
        <v>972</v>
      </c>
      <c r="C26" s="111" t="n">
        <f aca="false">C21-C25</f>
        <v>7678.27860745136</v>
      </c>
      <c r="D26" s="111" t="n">
        <f aca="false">D21-D25</f>
        <v>7546.11147562288</v>
      </c>
      <c r="E26" s="111" t="n">
        <f aca="false">E21-E25</f>
        <v>6378.63514447133</v>
      </c>
      <c r="F26" s="111" t="n">
        <f aca="false">F21-F25</f>
        <v>6378.63514447133</v>
      </c>
      <c r="G26" s="111" t="n">
        <f aca="false">G21-G25</f>
        <v>5442.45129401962</v>
      </c>
      <c r="H26" s="111" t="n">
        <f aca="false">H21-H25</f>
        <v>4704.51814131062</v>
      </c>
      <c r="I26" s="111" t="n">
        <f aca="false">I21-I25</f>
        <v>6709.05297404253</v>
      </c>
      <c r="J26" s="111" t="n">
        <f aca="false">J21-J25</f>
        <v>6048.21731490014</v>
      </c>
      <c r="K26" s="111" t="n">
        <f aca="false">K21-K25</f>
        <v>7061.49865891847</v>
      </c>
      <c r="L26" s="111" t="n">
        <f aca="false">L21-L25</f>
        <v>4968.85240496757</v>
      </c>
      <c r="M26" s="111" t="n">
        <f aca="false">M21-M25</f>
        <v>7926.42383598395</v>
      </c>
      <c r="N26" s="111" t="n">
        <f aca="false">N21-N25</f>
        <v>7947.95080643133</v>
      </c>
      <c r="O26" s="108"/>
      <c r="P26" s="77" t="s">
        <v>973</v>
      </c>
    </row>
    <row r="28" customFormat="false" ht="15" hidden="false" customHeight="false" outlineLevel="0" collapsed="false">
      <c r="B28" s="7" t="s">
        <v>974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5" hidden="false" customHeight="false" outlineLevel="0" collapsed="false">
      <c r="B29" s="4" t="s">
        <v>975</v>
      </c>
      <c r="C29" s="12" t="n">
        <f aca="false">BYD!$F$33*12</f>
        <v>4221.92511679644</v>
      </c>
      <c r="P29" s="2" t="s">
        <v>976</v>
      </c>
    </row>
    <row r="30" customFormat="false" ht="15" hidden="false" customHeight="false" outlineLevel="0" collapsed="false">
      <c r="B30" s="4" t="s">
        <v>977</v>
      </c>
      <c r="C30" s="12" t="n">
        <f aca="false">BYD!$F$34*12</f>
        <v>8865.646047029</v>
      </c>
      <c r="P30" s="2" t="s">
        <v>978</v>
      </c>
    </row>
    <row r="31" customFormat="false" ht="15" hidden="false" customHeight="false" outlineLevel="0" collapsed="false">
      <c r="B31" s="4" t="s">
        <v>979</v>
      </c>
      <c r="C31" s="12" t="n">
        <f aca="false">C30-C29</f>
        <v>4643.72093023256</v>
      </c>
      <c r="P31" s="2" t="s">
        <v>485</v>
      </c>
    </row>
    <row r="32" customFormat="false" ht="15" hidden="false" customHeight="false" outlineLevel="0" collapsed="false">
      <c r="B32" s="4" t="s">
        <v>980</v>
      </c>
      <c r="C32" s="30" t="n">
        <f aca="false">IFERROR(C30/C29-1,0)</f>
        <v>1.09990603854106</v>
      </c>
      <c r="P32" s="2" t="s">
        <v>981</v>
      </c>
    </row>
    <row r="33" customFormat="false" ht="15" hidden="false" customHeight="false" outlineLevel="0" collapsed="false">
      <c r="B33" s="4" t="s">
        <v>982</v>
      </c>
      <c r="C33" s="15" t="n">
        <f aca="false">C29*ENTRADAS!C18+ENTRADAS!C26*12</f>
        <v>4565.88984905406</v>
      </c>
      <c r="P33" s="2" t="s">
        <v>983</v>
      </c>
    </row>
    <row r="34" customFormat="false" ht="15" hidden="false" customHeight="false" outlineLevel="0" collapsed="false">
      <c r="B34" s="4" t="s">
        <v>984</v>
      </c>
      <c r="C34" s="15" t="n">
        <f aca="false">C30*ENTRADAS!C18+ENTRADAS!C26*12</f>
        <v>9309.31146765871</v>
      </c>
      <c r="P34" s="2" t="s">
        <v>985</v>
      </c>
    </row>
    <row r="35" customFormat="false" ht="15" hidden="false" customHeight="false" outlineLevel="0" collapsed="false">
      <c r="B35" s="4" t="s">
        <v>986</v>
      </c>
      <c r="C35" s="15" t="n">
        <f aca="false">C31*ENTRADAS!C18</f>
        <v>4743.42161860465</v>
      </c>
      <c r="P35" s="2" t="s">
        <v>987</v>
      </c>
    </row>
    <row r="36" customFormat="false" ht="15" hidden="false" customHeight="false" outlineLevel="0" collapsed="false">
      <c r="B36" s="4" t="s">
        <v>988</v>
      </c>
      <c r="C36" s="15" t="n">
        <f aca="false">C31*ENTRADAS!C25</f>
        <v>997.075610790698</v>
      </c>
      <c r="P36" s="2" t="s">
        <v>989</v>
      </c>
    </row>
    <row r="37" customFormat="false" ht="15" hidden="false" customHeight="false" outlineLevel="0" collapsed="false">
      <c r="B37" s="21" t="s">
        <v>990</v>
      </c>
      <c r="C37" s="23" t="n">
        <f aca="false">C35-C36</f>
        <v>3746.34600781395</v>
      </c>
      <c r="P37" s="2" t="s">
        <v>991</v>
      </c>
    </row>
    <row r="38" customFormat="false" ht="15" hidden="false" customHeight="false" outlineLevel="0" collapsed="false">
      <c r="B38" s="4" t="s">
        <v>992</v>
      </c>
      <c r="C38" s="12" t="n">
        <f aca="false">IFERROR(ROUNDUP(C31/GERACAO!I17*1000/615,0),0)</f>
        <v>6</v>
      </c>
      <c r="P38" s="2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9" min="4" style="0" width="14"/>
  </cols>
  <sheetData>
    <row r="1" customFormat="false" ht="17.35" hidden="false" customHeight="false" outlineLevel="0" collapsed="false">
      <c r="A1" s="1" t="s">
        <v>994</v>
      </c>
    </row>
    <row r="2" customFormat="false" ht="15" hidden="false" customHeight="false" outlineLevel="0" collapsed="false">
      <c r="A2" s="2" t="s">
        <v>995</v>
      </c>
    </row>
    <row r="4" customFormat="false" ht="45.75" hidden="false" customHeight="true" outlineLevel="0" collapsed="false">
      <c r="B4" s="17" t="s">
        <v>996</v>
      </c>
      <c r="C4" s="17" t="s">
        <v>997</v>
      </c>
      <c r="D4" s="17" t="s">
        <v>998</v>
      </c>
      <c r="E4" s="17" t="s">
        <v>999</v>
      </c>
      <c r="F4" s="17" t="s">
        <v>1000</v>
      </c>
      <c r="G4" s="17" t="s">
        <v>1001</v>
      </c>
      <c r="H4" s="17" t="s">
        <v>1002</v>
      </c>
      <c r="I4" s="17" t="s">
        <v>1003</v>
      </c>
      <c r="J4" s="17" t="s">
        <v>1004</v>
      </c>
      <c r="K4" s="17" t="s">
        <v>1005</v>
      </c>
      <c r="L4" s="17" t="s">
        <v>1006</v>
      </c>
      <c r="M4" s="17" t="s">
        <v>1007</v>
      </c>
      <c r="N4" s="17" t="s">
        <v>1008</v>
      </c>
      <c r="O4" s="17" t="s">
        <v>1009</v>
      </c>
      <c r="P4" s="17" t="s">
        <v>1010</v>
      </c>
      <c r="Q4" s="17" t="s">
        <v>1011</v>
      </c>
      <c r="R4" s="17" t="s">
        <v>1012</v>
      </c>
      <c r="S4" s="17" t="s">
        <v>1013</v>
      </c>
      <c r="T4" s="17" t="s">
        <v>1014</v>
      </c>
      <c r="U4" s="17" t="s">
        <v>1015</v>
      </c>
      <c r="V4" s="17" t="s">
        <v>1016</v>
      </c>
      <c r="W4" s="17" t="s">
        <v>1017</v>
      </c>
      <c r="X4" s="17" t="s">
        <v>1018</v>
      </c>
      <c r="Y4" s="17" t="s">
        <v>1019</v>
      </c>
      <c r="Z4" s="17" t="s">
        <v>1020</v>
      </c>
      <c r="AA4" s="17" t="s">
        <v>1021</v>
      </c>
      <c r="AB4" s="17" t="s">
        <v>1022</v>
      </c>
      <c r="AC4" s="17" t="s">
        <v>1023</v>
      </c>
      <c r="AD4" s="17" t="s">
        <v>1024</v>
      </c>
      <c r="AE4" s="17" t="s">
        <v>1025</v>
      </c>
      <c r="AF4" s="17" t="s">
        <v>1026</v>
      </c>
      <c r="AG4" s="17" t="s">
        <v>1027</v>
      </c>
      <c r="AH4" s="17" t="s">
        <v>1028</v>
      </c>
      <c r="AI4" s="17" t="s">
        <v>1029</v>
      </c>
      <c r="AJ4" s="17" t="s">
        <v>1030</v>
      </c>
      <c r="AK4" s="17" t="s">
        <v>1031</v>
      </c>
      <c r="AL4" s="17" t="s">
        <v>1032</v>
      </c>
      <c r="AM4" s="17" t="s">
        <v>1033</v>
      </c>
    </row>
    <row r="6" customFormat="false" ht="15" hidden="false" customHeight="false" outlineLevel="0" collapsed="false">
      <c r="B6" s="112" t="n">
        <v>1</v>
      </c>
      <c r="C6" s="40" t="n">
        <f aca="false">(1-ENTRADAS!$C$33)*(1-ENTRADAS!$C$34)^(1-1)</f>
        <v>0.98</v>
      </c>
      <c r="D6" s="113" t="n">
        <f aca="false">ECONOMIA!C$26*C6/$C$6*(1+ENTRADAS!$C$27)^(1-1)</f>
        <v>7678.27860745136</v>
      </c>
      <c r="E6" s="113" t="n">
        <f aca="false">D6</f>
        <v>7678.27860745136</v>
      </c>
      <c r="F6" s="113" t="n">
        <f aca="false">E6-COMPARATIVO!C$34</f>
        <v>-22120.4213925486</v>
      </c>
      <c r="G6" s="113" t="n">
        <f aca="false">ECONOMIA!D$26*C6/$C$6*(1+ENTRADAS!$C$27)^(1-1)</f>
        <v>7546.11147562288</v>
      </c>
      <c r="H6" s="113" t="n">
        <f aca="false">G6</f>
        <v>7546.11147562288</v>
      </c>
      <c r="I6" s="113" t="n">
        <f aca="false">H6-COMPARATIVO!D$34</f>
        <v>-21331.7885243771</v>
      </c>
      <c r="J6" s="113" t="n">
        <f aca="false">ECONOMIA!E$26*C6/$C$6*(1+ENTRADAS!$C$27)^(1-1)</f>
        <v>6378.63514447133</v>
      </c>
      <c r="K6" s="113" t="n">
        <f aca="false">J6</f>
        <v>6378.63514447133</v>
      </c>
      <c r="L6" s="113" t="n">
        <f aca="false">K6-COMPARATIVO!E$34</f>
        <v>-12141.7048555287</v>
      </c>
      <c r="M6" s="113" t="n">
        <f aca="false">ECONOMIA!F$26*C6/$C$6*(1+ENTRADAS!$C$27)^(1-1)</f>
        <v>6378.63514447133</v>
      </c>
      <c r="N6" s="113" t="n">
        <f aca="false">M6</f>
        <v>6378.63514447133</v>
      </c>
      <c r="O6" s="113" t="n">
        <f aca="false">N6-COMPARATIVO!F$34</f>
        <v>-13141.7048555287</v>
      </c>
      <c r="P6" s="113" t="n">
        <f aca="false">ECONOMIA!G$26*C6/$C$6*(1+ENTRADAS!$C$27)^(1-1)</f>
        <v>5442.45129401962</v>
      </c>
      <c r="Q6" s="113" t="n">
        <f aca="false">P6</f>
        <v>5442.45129401962</v>
      </c>
      <c r="R6" s="113" t="n">
        <f aca="false">Q6-COMPARATIVO!G$34</f>
        <v>-15906.4587059804</v>
      </c>
      <c r="S6" s="113" t="n">
        <f aca="false">ECONOMIA!H$26*C6/$C$6*(1+ENTRADAS!$C$27)^(1-1)</f>
        <v>4704.51814131062</v>
      </c>
      <c r="T6" s="113" t="n">
        <f aca="false">S6</f>
        <v>4704.51814131062</v>
      </c>
      <c r="U6" s="113" t="n">
        <f aca="false">T6-COMPARATIVO!H$34</f>
        <v>-10183.1218586894</v>
      </c>
      <c r="V6" s="113" t="n">
        <f aca="false">ECONOMIA!I$26*C6/$C$6*(1+ENTRADAS!$C$27)^(1-1)</f>
        <v>6709.05297404253</v>
      </c>
      <c r="W6" s="113" t="n">
        <f aca="false">V6</f>
        <v>6709.05297404253</v>
      </c>
      <c r="X6" s="113" t="n">
        <f aca="false">W6-COMPARATIVO!I$34</f>
        <v>-14371.4870259575</v>
      </c>
      <c r="Y6" s="113" t="n">
        <f aca="false">ECONOMIA!J$26*C6/$C$6*(1+ENTRADAS!$C$27)^(1-1)</f>
        <v>6048.21731490014</v>
      </c>
      <c r="Z6" s="113" t="n">
        <f aca="false">Y6</f>
        <v>6048.21731490014</v>
      </c>
      <c r="AA6" s="113" t="n">
        <f aca="false">Z6-COMPARATIVO!J$34</f>
        <v>-15184.7826850999</v>
      </c>
      <c r="AB6" s="113" t="n">
        <f aca="false">ECONOMIA!K$26*C6/$C$6*(1+ENTRADAS!$C$27)^(1-1)</f>
        <v>7061.49865891847</v>
      </c>
      <c r="AC6" s="113" t="n">
        <f aca="false">AB6</f>
        <v>7061.49865891847</v>
      </c>
      <c r="AD6" s="113" t="n">
        <f aca="false">AC6-COMPARATIVO!K$34</f>
        <v>-12328.5013410815</v>
      </c>
      <c r="AE6" s="113" t="n">
        <f aca="false">ECONOMIA!L$26*C6/$C$6*(1+ENTRADAS!$C$27)^(1-1)</f>
        <v>4968.85240496757</v>
      </c>
      <c r="AF6" s="113" t="n">
        <f aca="false">AE6</f>
        <v>4968.85240496757</v>
      </c>
      <c r="AG6" s="113" t="n">
        <f aca="false">AF6-COMPARATIVO!L$34</f>
        <v>-14973.1475950324</v>
      </c>
      <c r="AH6" s="113" t="n">
        <f aca="false">ECONOMIA!M$26*C6/$C$6*(1+ENTRADAS!$C$27)^(1-1)</f>
        <v>7926.42383598395</v>
      </c>
      <c r="AI6" s="113" t="n">
        <f aca="false">AH6</f>
        <v>7926.42383598395</v>
      </c>
      <c r="AJ6" s="113" t="n">
        <f aca="false">AI6-COMPARATIVO!M$34</f>
        <v>-14954.1161640161</v>
      </c>
      <c r="AK6" s="113" t="n">
        <f aca="false">ECONOMIA!N$26*C6/$C$6*(1+ENTRADAS!$C$27)^(1-1)</f>
        <v>7947.95080643133</v>
      </c>
      <c r="AL6" s="113" t="n">
        <f aca="false">AK6</f>
        <v>7947.95080643133</v>
      </c>
      <c r="AM6" s="113" t="n">
        <f aca="false">AL6-COMPARATIVO!N$34</f>
        <v>-16732.5891935687</v>
      </c>
    </row>
    <row r="7" customFormat="false" ht="15" hidden="false" customHeight="false" outlineLevel="0" collapsed="false">
      <c r="B7" s="112" t="n">
        <v>2</v>
      </c>
      <c r="C7" s="40" t="n">
        <f aca="false">(1-ENTRADAS!$C$33)*(1-ENTRADAS!$C$34)^(2-1)</f>
        <v>0.97559</v>
      </c>
      <c r="D7" s="113" t="n">
        <f aca="false">ECONOMIA!C$26*C7/$C$6*(1+ENTRADAS!$C$27)^(2-1)</f>
        <v>8178.78719847808</v>
      </c>
      <c r="E7" s="113" t="n">
        <f aca="false">E6+D7</f>
        <v>15857.0658059294</v>
      </c>
      <c r="F7" s="113" t="n">
        <f aca="false">E7-COMPARATIVO!C$34</f>
        <v>-13941.6341940706</v>
      </c>
      <c r="G7" s="113" t="n">
        <f aca="false">ECONOMIA!D$26*C7/$C$6*(1+ENTRADAS!$C$27)^(2-1)</f>
        <v>8038.00475216136</v>
      </c>
      <c r="H7" s="113" t="n">
        <f aca="false">H6+G7</f>
        <v>15584.1162277842</v>
      </c>
      <c r="I7" s="113" t="n">
        <f aca="false">H7-COMPARATIVO!D$34</f>
        <v>-13293.7837722158</v>
      </c>
      <c r="J7" s="113" t="n">
        <f aca="false">ECONOMIA!E$26*C7/$C$6*(1+ENTRADAS!$C$27)^(2-1)</f>
        <v>6794.4264763637</v>
      </c>
      <c r="K7" s="113" t="n">
        <f aca="false">K6+J7</f>
        <v>13173.061620835</v>
      </c>
      <c r="L7" s="113" t="n">
        <f aca="false">K7-COMPARATIVO!E$34</f>
        <v>-5347.27837916497</v>
      </c>
      <c r="M7" s="113" t="n">
        <f aca="false">ECONOMIA!F$26*C7/$C$6*(1+ENTRADAS!$C$27)^(2-1)</f>
        <v>6794.4264763637</v>
      </c>
      <c r="N7" s="113" t="n">
        <f aca="false">N6+M7</f>
        <v>13173.061620835</v>
      </c>
      <c r="O7" s="113" t="n">
        <f aca="false">N7-COMPARATIVO!F$34</f>
        <v>-6347.27837916497</v>
      </c>
      <c r="P7" s="113" t="n">
        <f aca="false">ECONOMIA!G$26*C7/$C$6*(1+ENTRADAS!$C$27)^(2-1)</f>
        <v>5797.21748162029</v>
      </c>
      <c r="Q7" s="113" t="n">
        <f aca="false">Q6+P7</f>
        <v>11239.6687756399</v>
      </c>
      <c r="R7" s="113" t="n">
        <f aca="false">Q7-COMPARATIVO!G$34</f>
        <v>-10109.2412243601</v>
      </c>
      <c r="S7" s="113" t="n">
        <f aca="false">ECONOMIA!H$26*C7/$C$6*(1+ENTRADAS!$C$27)^(2-1)</f>
        <v>5011.18215635195</v>
      </c>
      <c r="T7" s="113" t="n">
        <f aca="false">T6+S7</f>
        <v>9715.70029766257</v>
      </c>
      <c r="U7" s="113" t="n">
        <f aca="false">T7-COMPARATIVO!H$34</f>
        <v>-5171.93970233743</v>
      </c>
      <c r="V7" s="113" t="n">
        <f aca="false">ECONOMIA!I$26*C7/$C$6*(1+ENTRADAS!$C$27)^(2-1)</f>
        <v>7146.38259215549</v>
      </c>
      <c r="W7" s="113" t="n">
        <f aca="false">W6+V7</f>
        <v>13855.435566198</v>
      </c>
      <c r="X7" s="113" t="n">
        <f aca="false">W7-COMPARATIVO!I$34</f>
        <v>-7225.10443380198</v>
      </c>
      <c r="Y7" s="113" t="n">
        <f aca="false">ECONOMIA!J$26*C7/$C$6*(1+ENTRADAS!$C$27)^(2-1)</f>
        <v>6442.47036057191</v>
      </c>
      <c r="Z7" s="113" t="n">
        <f aca="false">Z6+Y7</f>
        <v>12490.687675472</v>
      </c>
      <c r="AA7" s="113" t="n">
        <f aca="false">Z7-COMPARATIVO!J$34</f>
        <v>-8742.31232452795</v>
      </c>
      <c r="AB7" s="113" t="n">
        <f aca="false">ECONOMIA!K$26*C7/$C$6*(1+ENTRADAS!$C$27)^(2-1)</f>
        <v>7521.80244900007</v>
      </c>
      <c r="AC7" s="113" t="n">
        <f aca="false">AC6+AB7</f>
        <v>14583.3011079185</v>
      </c>
      <c r="AD7" s="113" t="n">
        <f aca="false">AC7-COMPARATIVO!K$34</f>
        <v>-4806.69889208146</v>
      </c>
      <c r="AE7" s="113" t="n">
        <f aca="false">ECONOMIA!L$26*C7/$C$6*(1+ENTRADAS!$C$27)^(2-1)</f>
        <v>5292.74704898539</v>
      </c>
      <c r="AF7" s="113" t="n">
        <f aca="false">AF6+AE7</f>
        <v>10261.599453953</v>
      </c>
      <c r="AG7" s="113" t="n">
        <f aca="false">AF7-COMPARATIVO!L$34</f>
        <v>-9680.40054604704</v>
      </c>
      <c r="AH7" s="113" t="n">
        <f aca="false">ECONOMIA!M$26*C7/$C$6*(1+ENTRADAS!$C$27)^(2-1)</f>
        <v>8443.10777373256</v>
      </c>
      <c r="AI7" s="113" t="n">
        <f aca="false">AI6+AH7</f>
        <v>16369.5316097165</v>
      </c>
      <c r="AJ7" s="113" t="n">
        <f aca="false">AI7-COMPARATIVO!M$34</f>
        <v>-6511.00839028349</v>
      </c>
      <c r="AK7" s="113" t="n">
        <f aca="false">ECONOMIA!N$26*C7/$C$6*(1+ENTRADAS!$C$27)^(2-1)</f>
        <v>8466.03797974856</v>
      </c>
      <c r="AL7" s="113" t="n">
        <f aca="false">AL6+AK7</f>
        <v>16413.9887861799</v>
      </c>
      <c r="AM7" s="113" t="n">
        <f aca="false">AL7-COMPARATIVO!N$34</f>
        <v>-8266.55121382012</v>
      </c>
    </row>
    <row r="8" customFormat="false" ht="15" hidden="false" customHeight="false" outlineLevel="0" collapsed="false">
      <c r="B8" s="112" t="n">
        <v>3</v>
      </c>
      <c r="C8" s="40" t="n">
        <f aca="false">(1-ENTRADAS!$C$33)*(1-ENTRADAS!$C$34)^(3-1)</f>
        <v>0.971199845</v>
      </c>
      <c r="D8" s="113" t="n">
        <f aca="false">ECONOMIA!C$26*C8/$C$6*(1+ENTRADAS!$C$27)^(3-1)</f>
        <v>8711.92144201088</v>
      </c>
      <c r="E8" s="113" t="n">
        <f aca="false">E7+D8</f>
        <v>24568.9872479403</v>
      </c>
      <c r="F8" s="113" t="n">
        <f aca="false">E8-COMPARATIVO!C$34</f>
        <v>-5229.71275205968</v>
      </c>
      <c r="G8" s="113" t="n">
        <f aca="false">ECONOMIA!D$26*C8/$C$6*(1+ENTRADAS!$C$27)^(3-1)</f>
        <v>8561.962091931</v>
      </c>
      <c r="H8" s="113" t="n">
        <f aca="false">H7+G8</f>
        <v>24146.0783197152</v>
      </c>
      <c r="I8" s="113" t="n">
        <f aca="false">H8-COMPARATIVO!D$34</f>
        <v>-4731.82168028476</v>
      </c>
      <c r="J8" s="113" t="n">
        <f aca="false">ECONOMIA!E$26*C8/$C$6*(1+ENTRADAS!$C$27)^(3-1)</f>
        <v>7237.32116622547</v>
      </c>
      <c r="K8" s="113" t="n">
        <f aca="false">K7+J8</f>
        <v>20410.3827870605</v>
      </c>
      <c r="L8" s="113" t="n">
        <f aca="false">K8-COMPARATIVO!E$34</f>
        <v>1890.0427870605</v>
      </c>
      <c r="M8" s="113" t="n">
        <f aca="false">ECONOMIA!F$26*C8/$C$6*(1+ENTRADAS!$C$27)^(3-1)</f>
        <v>7237.32116622547</v>
      </c>
      <c r="N8" s="113" t="n">
        <f aca="false">N7+M8</f>
        <v>20410.3827870605</v>
      </c>
      <c r="O8" s="113" t="n">
        <f aca="false">N8-COMPARATIVO!F$34</f>
        <v>890.042787060502</v>
      </c>
      <c r="P8" s="113" t="n">
        <f aca="false">ECONOMIA!G$26*C8/$C$6*(1+ENTRADAS!$C$27)^(3-1)</f>
        <v>6175.10910315971</v>
      </c>
      <c r="Q8" s="113" t="n">
        <f aca="false">Q7+P8</f>
        <v>17414.7778787996</v>
      </c>
      <c r="R8" s="113" t="n">
        <f aca="false">Q8-COMPARATIVO!G$34</f>
        <v>-3934.13212120039</v>
      </c>
      <c r="S8" s="113" t="n">
        <f aca="false">ECONOMIA!H$26*C8/$C$6*(1+ENTRADAS!$C$27)^(3-1)</f>
        <v>5337.83606521376</v>
      </c>
      <c r="T8" s="113" t="n">
        <f aca="false">T7+S8</f>
        <v>15053.5363628763</v>
      </c>
      <c r="U8" s="113" t="n">
        <f aca="false">T8-COMPARATIVO!H$34</f>
        <v>165.89636287633</v>
      </c>
      <c r="V8" s="113" t="n">
        <f aca="false">ECONOMIA!I$26*C8/$C$6*(1+ENTRADAS!$C$27)^(3-1)</f>
        <v>7612.21954142515</v>
      </c>
      <c r="W8" s="113" t="n">
        <f aca="false">W7+V8</f>
        <v>21467.6551076232</v>
      </c>
      <c r="X8" s="113" t="n">
        <f aca="false">W8-COMPARATIVO!I$34</f>
        <v>387.115107623165</v>
      </c>
      <c r="Y8" s="113" t="n">
        <f aca="false">ECONOMIA!J$26*C8/$C$6*(1+ENTRADAS!$C$27)^(3-1)</f>
        <v>6862.42279102579</v>
      </c>
      <c r="Z8" s="113" t="n">
        <f aca="false">Z7+Y8</f>
        <v>19353.1104664978</v>
      </c>
      <c r="AA8" s="113" t="n">
        <f aca="false">Z8-COMPARATIVO!J$34</f>
        <v>-1879.88953350217</v>
      </c>
      <c r="AB8" s="113" t="n">
        <f aca="false">ECONOMIA!K$26*C8/$C$6*(1+ENTRADAS!$C$27)^(3-1)</f>
        <v>8012.11114163814</v>
      </c>
      <c r="AC8" s="113" t="n">
        <f aca="false">AC7+AB8</f>
        <v>22595.4122495567</v>
      </c>
      <c r="AD8" s="113" t="n">
        <f aca="false">AC8-COMPARATIVO!K$34</f>
        <v>3205.41224955667</v>
      </c>
      <c r="AE8" s="113" t="n">
        <f aca="false">ECONOMIA!L$26*C8/$C$6*(1+ENTRADAS!$C$27)^(3-1)</f>
        <v>5637.7547653735</v>
      </c>
      <c r="AF8" s="113" t="n">
        <f aca="false">AF7+AE8</f>
        <v>15899.3542193265</v>
      </c>
      <c r="AG8" s="113" t="n">
        <f aca="false">AF8-COMPARATIVO!L$34</f>
        <v>-4042.64578067354</v>
      </c>
      <c r="AH8" s="113" t="n">
        <f aca="false">ECONOMIA!M$26*C8/$C$6*(1+ENTRADAS!$C$27)^(3-1)</f>
        <v>8993.47175396332</v>
      </c>
      <c r="AI8" s="113" t="n">
        <f aca="false">AI7+AH8</f>
        <v>25363.0033636798</v>
      </c>
      <c r="AJ8" s="113" t="n">
        <f aca="false">AI8-COMPARATIVO!M$34</f>
        <v>2482.46336367983</v>
      </c>
      <c r="AK8" s="113" t="n">
        <f aca="false">ECONOMIA!N$26*C8/$C$6*(1+ENTRADAS!$C$27)^(3-1)</f>
        <v>9017.89666545846</v>
      </c>
      <c r="AL8" s="113" t="n">
        <f aca="false">AL7+AK8</f>
        <v>25431.8854516383</v>
      </c>
      <c r="AM8" s="113" t="n">
        <f aca="false">AL8-COMPARATIVO!N$34</f>
        <v>751.345451638343</v>
      </c>
    </row>
    <row r="9" customFormat="false" ht="15" hidden="false" customHeight="false" outlineLevel="0" collapsed="false">
      <c r="B9" s="112" t="n">
        <v>4</v>
      </c>
      <c r="C9" s="40" t="n">
        <f aca="false">(1-ENTRADAS!$C$33)*(1-ENTRADAS!$C$34)^(4-1)</f>
        <v>0.9668294456975</v>
      </c>
      <c r="D9" s="113" t="n">
        <f aca="false">ECONOMIA!C$26*C9/$C$6*(1+ENTRADAS!$C$27)^(4-1)</f>
        <v>9279.80804120835</v>
      </c>
      <c r="E9" s="113" t="n">
        <f aca="false">E8+D9</f>
        <v>33848.7952891487</v>
      </c>
      <c r="F9" s="113" t="n">
        <f aca="false">E9-COMPARATIVO!C$34</f>
        <v>4050.09528914867</v>
      </c>
      <c r="G9" s="113" t="n">
        <f aca="false">ECONOMIA!D$26*C9/$C$6*(1+ENTRADAS!$C$27)^(4-1)</f>
        <v>9120.07359089352</v>
      </c>
      <c r="H9" s="113" t="n">
        <f aca="false">H8+G9</f>
        <v>33266.1519106088</v>
      </c>
      <c r="I9" s="113" t="n">
        <f aca="false">H9-COMPARATIVO!D$34</f>
        <v>4388.25191060876</v>
      </c>
      <c r="J9" s="113" t="n">
        <f aca="false">ECONOMIA!E$26*C9/$C$6*(1+ENTRADAS!$C$27)^(4-1)</f>
        <v>7709.08594644587</v>
      </c>
      <c r="K9" s="113" t="n">
        <f aca="false">K8+J9</f>
        <v>28119.4687335064</v>
      </c>
      <c r="L9" s="113" t="n">
        <f aca="false">K9-COMPARATIVO!E$34</f>
        <v>9599.12873350638</v>
      </c>
      <c r="M9" s="113" t="n">
        <f aca="false">ECONOMIA!F$26*C9/$C$6*(1+ENTRADAS!$C$27)^(4-1)</f>
        <v>7709.08594644587</v>
      </c>
      <c r="N9" s="113" t="n">
        <f aca="false">N8+M9</f>
        <v>28119.4687335064</v>
      </c>
      <c r="O9" s="113" t="n">
        <f aca="false">N9-COMPARATIVO!F$34</f>
        <v>8599.12873350638</v>
      </c>
      <c r="P9" s="113" t="n">
        <f aca="false">ECONOMIA!G$26*C9/$C$6*(1+ENTRADAS!$C$27)^(4-1)</f>
        <v>6577.63359004917</v>
      </c>
      <c r="Q9" s="113" t="n">
        <f aca="false">Q8+P9</f>
        <v>23992.4114688488</v>
      </c>
      <c r="R9" s="113" t="n">
        <f aca="false">Q9-COMPARATIVO!G$34</f>
        <v>2643.50146884879</v>
      </c>
      <c r="S9" s="113" t="n">
        <f aca="false">ECONOMIA!H$26*C9/$C$6*(1+ENTRADAS!$C$27)^(4-1)</f>
        <v>5685.78290912472</v>
      </c>
      <c r="T9" s="113" t="n">
        <f aca="false">T8+S9</f>
        <v>20739.319272001</v>
      </c>
      <c r="U9" s="113" t="n">
        <f aca="false">T9-COMPARATIVO!H$34</f>
        <v>5851.67927200105</v>
      </c>
      <c r="V9" s="113" t="n">
        <f aca="false">ECONOMIA!I$26*C9/$C$6*(1+ENTRADAS!$C$27)^(4-1)</f>
        <v>8108.42207223295</v>
      </c>
      <c r="W9" s="113" t="n">
        <f aca="false">W8+V9</f>
        <v>29576.0771798561</v>
      </c>
      <c r="X9" s="113" t="n">
        <f aca="false">W9-COMPARATIVO!I$34</f>
        <v>8495.53717985611</v>
      </c>
      <c r="Y9" s="113" t="n">
        <f aca="false">ECONOMIA!J$26*C9/$C$6*(1+ENTRADAS!$C$27)^(4-1)</f>
        <v>7309.7498206588</v>
      </c>
      <c r="Z9" s="113" t="n">
        <f aca="false">Z8+Y9</f>
        <v>26662.8602871566</v>
      </c>
      <c r="AA9" s="113" t="n">
        <f aca="false">Z9-COMPARATIVO!J$34</f>
        <v>5429.86028715664</v>
      </c>
      <c r="AB9" s="113" t="n">
        <f aca="false">ECONOMIA!K$26*C9/$C$6*(1+ENTRADAS!$C$27)^(4-1)</f>
        <v>8534.38060640582</v>
      </c>
      <c r="AC9" s="113" t="n">
        <f aca="false">AC8+AB9</f>
        <v>31129.7928559625</v>
      </c>
      <c r="AD9" s="113" t="n">
        <f aca="false">AC9-COMPARATIVO!K$34</f>
        <v>11739.7928559625</v>
      </c>
      <c r="AE9" s="113" t="n">
        <f aca="false">ECONOMIA!L$26*C9/$C$6*(1+ENTRADAS!$C$27)^(4-1)</f>
        <v>6005.25180975437</v>
      </c>
      <c r="AF9" s="113" t="n">
        <f aca="false">AF8+AE9</f>
        <v>21904.6060290808</v>
      </c>
      <c r="AG9" s="113" t="n">
        <f aca="false">AF9-COMPARATIVO!L$34</f>
        <v>1962.60602908083</v>
      </c>
      <c r="AH9" s="113" t="n">
        <f aca="false">ECONOMIA!M$26*C9/$C$6*(1+ENTRADAS!$C$27)^(4-1)</f>
        <v>9579.71121024542</v>
      </c>
      <c r="AI9" s="113" t="n">
        <f aca="false">AI8+AH9</f>
        <v>34942.7145739252</v>
      </c>
      <c r="AJ9" s="113" t="n">
        <f aca="false">AI9-COMPARATIVO!M$34</f>
        <v>12062.1745739252</v>
      </c>
      <c r="AK9" s="113" t="n">
        <f aca="false">ECONOMIA!N$26*C9/$C$6*(1+ENTRADAS!$C$27)^(4-1)</f>
        <v>9605.72825959637</v>
      </c>
      <c r="AL9" s="113" t="n">
        <f aca="false">AL8+AK9</f>
        <v>35037.6137112347</v>
      </c>
      <c r="AM9" s="113" t="n">
        <f aca="false">AL9-COMPARATIVO!N$34</f>
        <v>10357.0737112347</v>
      </c>
    </row>
    <row r="10" customFormat="false" ht="15" hidden="false" customHeight="false" outlineLevel="0" collapsed="false">
      <c r="B10" s="114" t="n">
        <v>5</v>
      </c>
      <c r="C10" s="115" t="n">
        <f aca="false">(1-ENTRADAS!$C$33)*(1-ENTRADAS!$C$34)^(5-1)</f>
        <v>0.962478713191861</v>
      </c>
      <c r="D10" s="116" t="n">
        <f aca="false">ECONOMIA!C$26*C10/$C$6*(1+ENTRADAS!$C$27)^(5-1)</f>
        <v>9884.71232837452</v>
      </c>
      <c r="E10" s="116" t="n">
        <f aca="false">E9+D10</f>
        <v>43733.5076175232</v>
      </c>
      <c r="F10" s="116" t="n">
        <f aca="false">E10-COMPARATIVO!C$34</f>
        <v>13934.8076175232</v>
      </c>
      <c r="G10" s="116" t="n">
        <f aca="false">ECONOMIA!D$26*C10/$C$6*(1+ENTRADAS!$C$27)^(5-1)</f>
        <v>9714.56558791592</v>
      </c>
      <c r="H10" s="116" t="n">
        <f aca="false">H9+G10</f>
        <v>42980.7174985247</v>
      </c>
      <c r="I10" s="116" t="n">
        <f aca="false">H10-COMPARATIVO!D$34</f>
        <v>14102.8174985247</v>
      </c>
      <c r="J10" s="116" t="n">
        <f aca="false">ECONOMIA!E$26*C10/$C$6*(1+ENTRADAS!$C$27)^(5-1)</f>
        <v>8211.60271386495</v>
      </c>
      <c r="K10" s="116" t="n">
        <f aca="false">K9+J10</f>
        <v>36331.0714473713</v>
      </c>
      <c r="L10" s="116" t="n">
        <f aca="false">K10-COMPARATIVO!E$34</f>
        <v>17810.7314473713</v>
      </c>
      <c r="M10" s="116" t="n">
        <f aca="false">ECONOMIA!F$26*C10/$C$6*(1+ENTRADAS!$C$27)^(5-1)</f>
        <v>8211.60271386495</v>
      </c>
      <c r="N10" s="116" t="n">
        <f aca="false">N9+M10</f>
        <v>36331.0714473713</v>
      </c>
      <c r="O10" s="116" t="n">
        <f aca="false">N10-COMPARATIVO!F$34</f>
        <v>16810.7314473713</v>
      </c>
      <c r="P10" s="116" t="n">
        <f aca="false">ECONOMIA!G$26*C10/$C$6*(1+ENTRADAS!$C$27)^(5-1)</f>
        <v>7006.39663561653</v>
      </c>
      <c r="Q10" s="116" t="n">
        <f aca="false">Q9+P10</f>
        <v>30998.8081044653</v>
      </c>
      <c r="R10" s="116" t="n">
        <f aca="false">Q10-COMPARATIVO!G$34</f>
        <v>9649.89810446532</v>
      </c>
      <c r="S10" s="116" t="n">
        <f aca="false">ECONOMIA!H$26*C10/$C$6*(1+ENTRADAS!$C$27)^(5-1)</f>
        <v>6056.41066805601</v>
      </c>
      <c r="T10" s="116" t="n">
        <f aca="false">T9+S10</f>
        <v>26795.7299400571</v>
      </c>
      <c r="U10" s="116" t="n">
        <f aca="false">T10-COMPARATIVO!H$34</f>
        <v>11908.0899400571</v>
      </c>
      <c r="V10" s="116" t="n">
        <f aca="false">ECONOMIA!I$26*C10/$C$6*(1+ENTRADAS!$C$27)^(5-1)</f>
        <v>8636.96956501145</v>
      </c>
      <c r="W10" s="116" t="n">
        <f aca="false">W9+V10</f>
        <v>38213.0467448676</v>
      </c>
      <c r="X10" s="116" t="n">
        <f aca="false">W10-COMPARATIVO!I$34</f>
        <v>17132.5067448676</v>
      </c>
      <c r="Y10" s="116" t="n">
        <f aca="false">ECONOMIA!J$26*C10/$C$6*(1+ENTRADAS!$C$27)^(5-1)</f>
        <v>7786.23586271845</v>
      </c>
      <c r="Z10" s="116" t="n">
        <f aca="false">Z9+Y10</f>
        <v>34449.0961498751</v>
      </c>
      <c r="AA10" s="116" t="n">
        <f aca="false">Z10-COMPARATIVO!J$34</f>
        <v>13216.0961498751</v>
      </c>
      <c r="AB10" s="116" t="n">
        <f aca="false">ECONOMIA!K$26*C10/$C$6*(1+ENTRADAS!$C$27)^(5-1)</f>
        <v>9090.69420623438</v>
      </c>
      <c r="AC10" s="116" t="n">
        <f aca="false">AC9+AB10</f>
        <v>40220.4870621969</v>
      </c>
      <c r="AD10" s="116" t="n">
        <f aca="false">AC10-COMPARATIVO!K$34</f>
        <v>20830.4870621969</v>
      </c>
      <c r="AE10" s="116" t="n">
        <f aca="false">ECONOMIA!L$26*C10/$C$6*(1+ENTRADAS!$C$27)^(5-1)</f>
        <v>6396.70414897321</v>
      </c>
      <c r="AF10" s="116" t="n">
        <f aca="false">AF9+AE10</f>
        <v>28301.310178054</v>
      </c>
      <c r="AG10" s="116" t="n">
        <f aca="false">AF10-COMPARATIVO!L$34</f>
        <v>8359.31017805404</v>
      </c>
      <c r="AH10" s="116" t="n">
        <f aca="false">ECONOMIA!M$26*C10/$C$6*(1+ENTRADAS!$C$27)^(5-1)</f>
        <v>10204.1646854853</v>
      </c>
      <c r="AI10" s="116" t="n">
        <f aca="false">AI9+AH10</f>
        <v>45146.8792594105</v>
      </c>
      <c r="AJ10" s="116" t="n">
        <f aca="false">AI10-COMPARATIVO!M$34</f>
        <v>22266.3392594105</v>
      </c>
      <c r="AK10" s="116" t="n">
        <f aca="false">ECONOMIA!N$26*C10/$C$6*(1+ENTRADAS!$C$27)^(5-1)</f>
        <v>10231.8776561982</v>
      </c>
      <c r="AL10" s="116" t="n">
        <f aca="false">AL9+AK10</f>
        <v>45269.4913674329</v>
      </c>
      <c r="AM10" s="116" t="n">
        <f aca="false">AL10-COMPARATIVO!N$34</f>
        <v>20588.9513674329</v>
      </c>
    </row>
    <row r="11" customFormat="false" ht="15" hidden="false" customHeight="false" outlineLevel="0" collapsed="false">
      <c r="B11" s="112" t="n">
        <v>6</v>
      </c>
      <c r="C11" s="40" t="n">
        <f aca="false">(1-ENTRADAS!$C$33)*(1-ENTRADAS!$C$34)^(6-1)</f>
        <v>0.958147558982498</v>
      </c>
      <c r="D11" s="113" t="n">
        <f aca="false">ECONOMIA!C$26*C11/$C$6*(1+ENTRADAS!$C$27)^(6-1)</f>
        <v>10529.0473014996</v>
      </c>
      <c r="E11" s="113" t="n">
        <f aca="false">E10+D11</f>
        <v>54262.5549190228</v>
      </c>
      <c r="F11" s="113" t="n">
        <f aca="false">E11-COMPARATIVO!C$34</f>
        <v>24463.8549190228</v>
      </c>
      <c r="G11" s="113" t="n">
        <f aca="false">ECONOMIA!D$26*C11/$C$6*(1+ENTRADAS!$C$27)^(6-1)</f>
        <v>10347.8095457642</v>
      </c>
      <c r="H11" s="113" t="n">
        <f aca="false">H10+G11</f>
        <v>53328.5270442889</v>
      </c>
      <c r="I11" s="113" t="n">
        <f aca="false">H11-COMPARATIVO!D$34</f>
        <v>24450.6270442889</v>
      </c>
      <c r="J11" s="113" t="n">
        <f aca="false">ECONOMIA!E$26*C11/$C$6*(1+ENTRADAS!$C$27)^(6-1)</f>
        <v>8746.87603676824</v>
      </c>
      <c r="K11" s="113" t="n">
        <f aca="false">K10+J11</f>
        <v>45077.9474841396</v>
      </c>
      <c r="L11" s="113" t="n">
        <f aca="false">K11-COMPARATIVO!E$34</f>
        <v>26557.6074841396</v>
      </c>
      <c r="M11" s="113" t="n">
        <f aca="false">ECONOMIA!F$26*C11/$C$6*(1+ENTRADAS!$C$27)^(6-1)</f>
        <v>8746.87603676824</v>
      </c>
      <c r="N11" s="113" t="n">
        <f aca="false">N10+M11</f>
        <v>45077.9474841396</v>
      </c>
      <c r="O11" s="113" t="n">
        <f aca="false">N11-COMPARATIVO!F$34</f>
        <v>25557.6074841396</v>
      </c>
      <c r="P11" s="113" t="n">
        <f aca="false">ECONOMIA!G$26*C11/$C$6*(1+ENTRADAS!$C$27)^(6-1)</f>
        <v>7463.10860030919</v>
      </c>
      <c r="Q11" s="113" t="n">
        <f aca="false">Q10+P11</f>
        <v>38461.9167047745</v>
      </c>
      <c r="R11" s="113" t="n">
        <f aca="false">Q11-COMPARATIVO!G$34</f>
        <v>17113.0067047745</v>
      </c>
      <c r="S11" s="113" t="n">
        <f aca="false">ECONOMIA!H$26*C11/$C$6*(1+ENTRADAS!$C$27)^(6-1)</f>
        <v>6451.19779745324</v>
      </c>
      <c r="T11" s="113" t="n">
        <f aca="false">T10+S11</f>
        <v>33246.9277375103</v>
      </c>
      <c r="U11" s="113" t="n">
        <f aca="false">T11-COMPARATIVO!H$34</f>
        <v>18359.2877375103</v>
      </c>
      <c r="V11" s="113" t="n">
        <f aca="false">ECONOMIA!I$26*C11/$C$6*(1+ENTRADAS!$C$27)^(6-1)</f>
        <v>9199.97042610673</v>
      </c>
      <c r="W11" s="113" t="n">
        <f aca="false">W10+V11</f>
        <v>47413.0171709743</v>
      </c>
      <c r="X11" s="113" t="n">
        <f aca="false">W11-COMPARATIVO!I$34</f>
        <v>26332.4771709743</v>
      </c>
      <c r="Y11" s="113" t="n">
        <f aca="false">ECONOMIA!J$26*C11/$C$6*(1+ENTRADAS!$C$27)^(6-1)</f>
        <v>8293.78164742975</v>
      </c>
      <c r="Z11" s="113" t="n">
        <f aca="false">Z10+Y11</f>
        <v>42742.8777973048</v>
      </c>
      <c r="AA11" s="113" t="n">
        <f aca="false">Z11-COMPARATIVO!J$34</f>
        <v>21509.8777973048</v>
      </c>
      <c r="AB11" s="113" t="n">
        <f aca="false">ECONOMIA!K$26*C11/$C$6*(1+ENTRADAS!$C$27)^(6-1)</f>
        <v>9683.27110806778</v>
      </c>
      <c r="AC11" s="113" t="n">
        <f aca="false">AC10+AB11</f>
        <v>49903.7581702647</v>
      </c>
      <c r="AD11" s="113" t="n">
        <f aca="false">AC11-COMPARATIVO!K$34</f>
        <v>30513.7581702647</v>
      </c>
      <c r="AE11" s="113" t="n">
        <f aca="false">ECONOMIA!L$26*C11/$C$6*(1+ENTRADAS!$C$27)^(6-1)</f>
        <v>6813.67330892403</v>
      </c>
      <c r="AF11" s="113" t="n">
        <f aca="false">AF10+AE11</f>
        <v>35114.9834869781</v>
      </c>
      <c r="AG11" s="113" t="n">
        <f aca="false">AF11-COMPARATIVO!L$34</f>
        <v>15172.9834869781</v>
      </c>
      <c r="AH11" s="113" t="n">
        <f aca="false">ECONOMIA!M$26*C11/$C$6*(1+ENTRADAS!$C$27)^(6-1)</f>
        <v>10869.3231605086</v>
      </c>
      <c r="AI11" s="113" t="n">
        <f aca="false">AI10+AH11</f>
        <v>56016.2024199191</v>
      </c>
      <c r="AJ11" s="113" t="n">
        <f aca="false">AI11-COMPARATIVO!M$34</f>
        <v>33135.6624199191</v>
      </c>
      <c r="AK11" s="113" t="n">
        <f aca="false">ECONOMIA!N$26*C11/$C$6*(1+ENTRADAS!$C$27)^(6-1)</f>
        <v>10898.8426012174</v>
      </c>
      <c r="AL11" s="113" t="n">
        <f aca="false">AL10+AK11</f>
        <v>56168.3339686503</v>
      </c>
      <c r="AM11" s="113" t="n">
        <f aca="false">AL11-COMPARATIVO!N$34</f>
        <v>31487.7939686503</v>
      </c>
    </row>
    <row r="12" customFormat="false" ht="15" hidden="false" customHeight="false" outlineLevel="0" collapsed="false">
      <c r="B12" s="112" t="n">
        <v>7</v>
      </c>
      <c r="C12" s="40" t="n">
        <f aca="false">(1-ENTRADAS!$C$33)*(1-ENTRADAS!$C$34)^(7-1)</f>
        <v>0.953835894967077</v>
      </c>
      <c r="D12" s="113" t="n">
        <f aca="false">ECONOMIA!C$26*C12/$C$6*(1+ENTRADAS!$C$27)^(7-1)</f>
        <v>11215.3832498479</v>
      </c>
      <c r="E12" s="113" t="n">
        <f aca="false">E11+D12</f>
        <v>65477.9381688707</v>
      </c>
      <c r="F12" s="113" t="n">
        <f aca="false">E12-COMPARATIVO!C$34</f>
        <v>35679.2381688707</v>
      </c>
      <c r="G12" s="113" t="n">
        <f aca="false">ECONOMIA!D$26*C12/$C$6*(1+ENTRADAS!$C$27)^(7-1)</f>
        <v>11022.3315110049</v>
      </c>
      <c r="H12" s="113" t="n">
        <f aca="false">H11+G12</f>
        <v>64350.8585552938</v>
      </c>
      <c r="I12" s="113" t="n">
        <f aca="false">H12-COMPARATIVO!D$34</f>
        <v>35472.9585552938</v>
      </c>
      <c r="J12" s="113" t="n">
        <f aca="false">ECONOMIA!E$26*C12/$C$6*(1+ENTRADAS!$C$27)^(7-1)</f>
        <v>9317.04115122498</v>
      </c>
      <c r="K12" s="113" t="n">
        <f aca="false">K11+J12</f>
        <v>54394.9886353645</v>
      </c>
      <c r="L12" s="113" t="n">
        <f aca="false">K12-COMPARATIVO!E$34</f>
        <v>35874.6486353645</v>
      </c>
      <c r="M12" s="113" t="n">
        <f aca="false">ECONOMIA!F$26*C12/$C$6*(1+ENTRADAS!$C$27)^(7-1)</f>
        <v>9317.04115122498</v>
      </c>
      <c r="N12" s="113" t="n">
        <f aca="false">N11+M12</f>
        <v>54394.9886353645</v>
      </c>
      <c r="O12" s="113" t="n">
        <f aca="false">N12-COMPARATIVO!F$34</f>
        <v>34874.6486353645</v>
      </c>
      <c r="P12" s="113" t="n">
        <f aca="false">ECONOMIA!G$26*C12/$C$6*(1+ENTRADAS!$C$27)^(7-1)</f>
        <v>7949.59133442035</v>
      </c>
      <c r="Q12" s="113" t="n">
        <f aca="false">Q11+P12</f>
        <v>46411.5080391949</v>
      </c>
      <c r="R12" s="113" t="n">
        <f aca="false">Q12-COMPARATIVO!G$34</f>
        <v>25062.5980391949</v>
      </c>
      <c r="S12" s="113" t="n">
        <f aca="false">ECONOMIA!H$26*C12/$C$6*(1+ENTRADAS!$C$27)^(7-1)</f>
        <v>6871.71912588023</v>
      </c>
      <c r="T12" s="113" t="n">
        <f aca="false">T11+S12</f>
        <v>40118.6468633905</v>
      </c>
      <c r="U12" s="113" t="n">
        <f aca="false">T12-COMPARATIVO!H$34</f>
        <v>25231.0068633905</v>
      </c>
      <c r="V12" s="113" t="n">
        <f aca="false">ECONOMIA!I$26*C12/$C$6*(1+ENTRADAS!$C$27)^(7-1)</f>
        <v>9799.67049833249</v>
      </c>
      <c r="W12" s="113" t="n">
        <f aca="false">W11+V12</f>
        <v>57212.6876693068</v>
      </c>
      <c r="X12" s="113" t="n">
        <f aca="false">W12-COMPARATIVO!I$34</f>
        <v>36132.1476693068</v>
      </c>
      <c r="Y12" s="113" t="n">
        <f aca="false">ECONOMIA!J$26*C12/$C$6*(1+ENTRADAS!$C$27)^(7-1)</f>
        <v>8834.41180411746</v>
      </c>
      <c r="Z12" s="113" t="n">
        <f aca="false">Z11+Y12</f>
        <v>51577.2896014223</v>
      </c>
      <c r="AA12" s="113" t="n">
        <f aca="false">Z12-COMPARATIVO!J$34</f>
        <v>30344.2896014223</v>
      </c>
      <c r="AB12" s="113" t="n">
        <f aca="false">ECONOMIA!K$26*C12/$C$6*(1+ENTRADAS!$C$27)^(7-1)</f>
        <v>10314.4751352472</v>
      </c>
      <c r="AC12" s="113" t="n">
        <f aca="false">AC11+AB12</f>
        <v>60218.2333055118</v>
      </c>
      <c r="AD12" s="113" t="n">
        <f aca="false">AC12-COMPARATIVO!K$34</f>
        <v>40828.2333055118</v>
      </c>
      <c r="AE12" s="113" t="n">
        <f aca="false">ECONOMIA!L$26*C12/$C$6*(1+ENTRADAS!$C$27)^(7-1)</f>
        <v>7257.82260356625</v>
      </c>
      <c r="AF12" s="113" t="n">
        <f aca="false">AF11+AE12</f>
        <v>42372.8060905443</v>
      </c>
      <c r="AG12" s="113" t="n">
        <f aca="false">AF12-COMPARATIVO!L$34</f>
        <v>22430.8060905443</v>
      </c>
      <c r="AH12" s="113" t="n">
        <f aca="false">ECONOMIA!M$26*C12/$C$6*(1+ENTRADAS!$C$27)^(7-1)</f>
        <v>11577.8399907264</v>
      </c>
      <c r="AI12" s="113" t="n">
        <f aca="false">AI11+AH12</f>
        <v>67594.0424106455</v>
      </c>
      <c r="AJ12" s="113" t="n">
        <f aca="false">AI12-COMPARATIVO!M$34</f>
        <v>44713.5024106455</v>
      </c>
      <c r="AK12" s="113" t="n">
        <f aca="false">ECONOMIA!N$26*C12/$C$6*(1+ENTRADAS!$C$27)^(7-1)</f>
        <v>11609.2836561778</v>
      </c>
      <c r="AL12" s="113" t="n">
        <f aca="false">AL11+AK12</f>
        <v>67777.6176248281</v>
      </c>
      <c r="AM12" s="113" t="n">
        <f aca="false">AL12-COMPARATIVO!N$34</f>
        <v>43097.0776248281</v>
      </c>
    </row>
    <row r="13" customFormat="false" ht="15" hidden="false" customHeight="false" outlineLevel="0" collapsed="false">
      <c r="B13" s="112" t="n">
        <v>8</v>
      </c>
      <c r="C13" s="40" t="n">
        <f aca="false">(1-ENTRADAS!$C$33)*(1-ENTRADAS!$C$34)^(8-1)</f>
        <v>0.949543633439725</v>
      </c>
      <c r="D13" s="113" t="n">
        <f aca="false">ECONOMIA!C$26*C13/$C$6*(1+ENTRADAS!$C$27)^(8-1)</f>
        <v>11946.4580069892</v>
      </c>
      <c r="E13" s="113" t="n">
        <f aca="false">E12+D13</f>
        <v>77424.3961758599</v>
      </c>
      <c r="F13" s="113" t="n">
        <f aca="false">E13-COMPARATIVO!C$34</f>
        <v>47625.6961758599</v>
      </c>
      <c r="G13" s="113" t="n">
        <f aca="false">ECONOMIA!D$26*C13/$C$6*(1+ENTRADAS!$C$27)^(8-1)</f>
        <v>11740.8221905497</v>
      </c>
      <c r="H13" s="113" t="n">
        <f aca="false">H12+G13</f>
        <v>76091.6807458435</v>
      </c>
      <c r="I13" s="113" t="n">
        <f aca="false">H13-COMPARATIVO!D$34</f>
        <v>47213.7807458435</v>
      </c>
      <c r="J13" s="113" t="n">
        <f aca="false">ECONOMIA!E$26*C13/$C$6*(1+ENTRADAS!$C$27)^(8-1)</f>
        <v>9924.37247866758</v>
      </c>
      <c r="K13" s="113" t="n">
        <f aca="false">K12+J13</f>
        <v>64319.3611140321</v>
      </c>
      <c r="L13" s="113" t="n">
        <f aca="false">K13-COMPARATIVO!E$34</f>
        <v>45799.0211140321</v>
      </c>
      <c r="M13" s="113" t="n">
        <f aca="false">ECONOMIA!F$26*C13/$C$6*(1+ENTRADAS!$C$27)^(8-1)</f>
        <v>9924.37247866758</v>
      </c>
      <c r="N13" s="113" t="n">
        <f aca="false">N12+M13</f>
        <v>64319.3611140321</v>
      </c>
      <c r="O13" s="113" t="n">
        <f aca="false">N13-COMPARATIVO!F$34</f>
        <v>44799.0211140321</v>
      </c>
      <c r="P13" s="113" t="n">
        <f aca="false">ECONOMIA!G$26*C13/$C$6*(1+ENTRADAS!$C$27)^(8-1)</f>
        <v>8467.78544555454</v>
      </c>
      <c r="Q13" s="113" t="n">
        <f aca="false">Q12+P13</f>
        <v>54879.2934847494</v>
      </c>
      <c r="R13" s="113" t="n">
        <f aca="false">Q13-COMPARATIVO!G$34</f>
        <v>33530.3834847494</v>
      </c>
      <c r="S13" s="113" t="n">
        <f aca="false">ECONOMIA!H$26*C13/$C$6*(1+ENTRADAS!$C$27)^(8-1)</f>
        <v>7319.65213710074</v>
      </c>
      <c r="T13" s="113" t="n">
        <f aca="false">T12+S13</f>
        <v>47438.2990004913</v>
      </c>
      <c r="U13" s="113" t="n">
        <f aca="false">T13-COMPARATIVO!H$34</f>
        <v>32550.6590004913</v>
      </c>
      <c r="V13" s="113" t="n">
        <f aca="false">ECONOMIA!I$26*C13/$C$6*(1+ENTRADAS!$C$27)^(8-1)</f>
        <v>10438.4620197663</v>
      </c>
      <c r="W13" s="113" t="n">
        <f aca="false">W12+V13</f>
        <v>67651.1496890731</v>
      </c>
      <c r="X13" s="113" t="n">
        <f aca="false">W13-COMPARATIVO!I$34</f>
        <v>46570.6096890731</v>
      </c>
      <c r="Y13" s="113" t="n">
        <f aca="false">ECONOMIA!J$26*C13/$C$6*(1+ENTRADAS!$C$27)^(8-1)</f>
        <v>9410.28293756886</v>
      </c>
      <c r="Z13" s="113" t="n">
        <f aca="false">Z12+Y13</f>
        <v>60987.5725389912</v>
      </c>
      <c r="AA13" s="113" t="n">
        <f aca="false">Z13-COMPARATIVO!J$34</f>
        <v>39754.5725389912</v>
      </c>
      <c r="AB13" s="113" t="n">
        <f aca="false">ECONOMIA!K$26*C13/$C$6*(1+ENTRADAS!$C$27)^(8-1)</f>
        <v>10986.8241969383</v>
      </c>
      <c r="AC13" s="113" t="n">
        <f aca="false">AC12+AB13</f>
        <v>71205.0575024501</v>
      </c>
      <c r="AD13" s="113" t="n">
        <f aca="false">AC13-COMPARATIVO!K$34</f>
        <v>51815.0575024501</v>
      </c>
      <c r="AE13" s="113" t="n">
        <f aca="false">ECONOMIA!L$26*C13/$C$6*(1+ENTRADAS!$C$27)^(8-1)</f>
        <v>7730.92376997971</v>
      </c>
      <c r="AF13" s="113" t="n">
        <f aca="false">AF12+AE13</f>
        <v>50103.729860524</v>
      </c>
      <c r="AG13" s="113" t="n">
        <f aca="false">AF13-COMPARATIVO!L$34</f>
        <v>30161.729860524</v>
      </c>
      <c r="AH13" s="113" t="n">
        <f aca="false">ECONOMIA!M$26*C13/$C$6*(1+ENTRADAS!$C$27)^(8-1)</f>
        <v>12332.5414905219</v>
      </c>
      <c r="AI13" s="113" t="n">
        <f aca="false">AI12+AH13</f>
        <v>79926.5839011674</v>
      </c>
      <c r="AJ13" s="113" t="n">
        <f aca="false">AI13-COMPARATIVO!M$34</f>
        <v>57046.0439011674</v>
      </c>
      <c r="AK13" s="113" t="n">
        <f aca="false">ECONOMIA!N$26*C13/$C$6*(1+ENTRADAS!$C$27)^(8-1)</f>
        <v>12366.0348113058</v>
      </c>
      <c r="AL13" s="113" t="n">
        <f aca="false">AL12+AK13</f>
        <v>80143.6524361339</v>
      </c>
      <c r="AM13" s="113" t="n">
        <f aca="false">AL13-COMPARATIVO!N$34</f>
        <v>55463.1124361339</v>
      </c>
    </row>
    <row r="14" customFormat="false" ht="15" hidden="false" customHeight="false" outlineLevel="0" collapsed="false">
      <c r="B14" s="112" t="n">
        <v>9</v>
      </c>
      <c r="C14" s="40" t="n">
        <f aca="false">(1-ENTRADAS!$C$33)*(1-ENTRADAS!$C$34)^(9-1)</f>
        <v>0.945270687089246</v>
      </c>
      <c r="D14" s="113" t="n">
        <f aca="false">ECONOMIA!C$26*C14/$C$6*(1+ENTRADAS!$C$27)^(9-1)</f>
        <v>12725.1878721748</v>
      </c>
      <c r="E14" s="113" t="n">
        <f aca="false">E13+D14</f>
        <v>90149.5840480347</v>
      </c>
      <c r="F14" s="113" t="n">
        <f aca="false">E14-COMPARATIVO!C$34</f>
        <v>60350.8840480347</v>
      </c>
      <c r="G14" s="113" t="n">
        <f aca="false">ECONOMIA!D$26*C14/$C$6*(1+ENTRADAS!$C$27)^(9-1)</f>
        <v>12506.1476850407</v>
      </c>
      <c r="H14" s="113" t="n">
        <f aca="false">H13+G14</f>
        <v>88597.8284308842</v>
      </c>
      <c r="I14" s="113" t="n">
        <f aca="false">H14-COMPARATIVO!D$34</f>
        <v>59719.9284308842</v>
      </c>
      <c r="J14" s="113" t="n">
        <f aca="false">ECONOMIA!E$26*C14/$C$6*(1+ENTRADAS!$C$27)^(9-1)</f>
        <v>10571.2926986895</v>
      </c>
      <c r="K14" s="113" t="n">
        <f aca="false">K13+J14</f>
        <v>74890.6538127216</v>
      </c>
      <c r="L14" s="113" t="n">
        <f aca="false">K14-COMPARATIVO!E$34</f>
        <v>56370.3138127216</v>
      </c>
      <c r="M14" s="113" t="n">
        <f aca="false">ECONOMIA!F$26*C14/$C$6*(1+ENTRADAS!$C$27)^(9-1)</f>
        <v>10571.2926986895</v>
      </c>
      <c r="N14" s="113" t="n">
        <f aca="false">N13+M14</f>
        <v>74890.6538127216</v>
      </c>
      <c r="O14" s="113" t="n">
        <f aca="false">N14-COMPARATIVO!F$34</f>
        <v>55370.3138127216</v>
      </c>
      <c r="P14" s="113" t="n">
        <f aca="false">ECONOMIA!G$26*C14/$C$6*(1+ENTRADAS!$C$27)^(9-1)</f>
        <v>9019.75803982302</v>
      </c>
      <c r="Q14" s="113" t="n">
        <f aca="false">Q13+P14</f>
        <v>63899.0515245724</v>
      </c>
      <c r="R14" s="113" t="n">
        <f aca="false">Q14-COMPARATIVO!G$34</f>
        <v>42550.1415245724</v>
      </c>
      <c r="S14" s="113" t="n">
        <f aca="false">ECONOMIA!H$26*C14/$C$6*(1+ENTRADAS!$C$27)^(9-1)</f>
        <v>7796.78366165765</v>
      </c>
      <c r="T14" s="113" t="n">
        <f aca="false">T13+S14</f>
        <v>55235.0826621489</v>
      </c>
      <c r="U14" s="113" t="n">
        <f aca="false">T14-COMPARATIVO!H$34</f>
        <v>40347.4426621489</v>
      </c>
      <c r="V14" s="113" t="n">
        <f aca="false">ECONOMIA!I$26*C14/$C$6*(1+ENTRADAS!$C$27)^(9-1)</f>
        <v>11118.8931665248</v>
      </c>
      <c r="W14" s="113" t="n">
        <f aca="false">W13+V14</f>
        <v>78770.0428555978</v>
      </c>
      <c r="X14" s="113" t="n">
        <f aca="false">W14-COMPARATIVO!I$34</f>
        <v>57689.5028555978</v>
      </c>
      <c r="Y14" s="113" t="n">
        <f aca="false">ECONOMIA!J$26*C14/$C$6*(1+ENTRADAS!$C$27)^(9-1)</f>
        <v>10023.6922308543</v>
      </c>
      <c r="Z14" s="113" t="n">
        <f aca="false">Z13+Y14</f>
        <v>71011.2647698454</v>
      </c>
      <c r="AA14" s="113" t="n">
        <f aca="false">Z14-COMPARATIVO!J$34</f>
        <v>49778.2647698454</v>
      </c>
      <c r="AB14" s="113" t="n">
        <f aca="false">ECONOMIA!K$26*C14/$C$6*(1+ENTRADAS!$C$27)^(9-1)</f>
        <v>11703.0003322157</v>
      </c>
      <c r="AC14" s="113" t="n">
        <f aca="false">AC13+AB14</f>
        <v>82908.0578346658</v>
      </c>
      <c r="AD14" s="113" t="n">
        <f aca="false">AC14-COMPARATIVO!K$34</f>
        <v>63518.0578346658</v>
      </c>
      <c r="AE14" s="113" t="n">
        <f aca="false">ECONOMIA!L$26*C14/$C$6*(1+ENTRADAS!$C$27)^(9-1)</f>
        <v>8234.86403592584</v>
      </c>
      <c r="AF14" s="113" t="n">
        <f aca="false">AF13+AE14</f>
        <v>58338.5938964499</v>
      </c>
      <c r="AG14" s="113" t="n">
        <f aca="false">AF14-COMPARATIVO!L$34</f>
        <v>38396.5938964499</v>
      </c>
      <c r="AH14" s="113" t="n">
        <f aca="false">ECONOMIA!M$26*C14/$C$6*(1+ENTRADAS!$C$27)^(9-1)</f>
        <v>13136.4382075816</v>
      </c>
      <c r="AI14" s="113" t="n">
        <f aca="false">AI13+AH14</f>
        <v>93063.022108749</v>
      </c>
      <c r="AJ14" s="113" t="n">
        <f aca="false">AI14-COMPARATIVO!M$34</f>
        <v>70182.482108749</v>
      </c>
      <c r="AK14" s="113" t="n">
        <f aca="false">ECONOMIA!N$26*C14/$C$6*(1+ENTRADAS!$C$27)^(9-1)</f>
        <v>13172.1147904807</v>
      </c>
      <c r="AL14" s="113" t="n">
        <f aca="false">AL13+AK14</f>
        <v>93315.7672266146</v>
      </c>
      <c r="AM14" s="113" t="n">
        <f aca="false">AL14-COMPARATIVO!N$34</f>
        <v>68635.2272266146</v>
      </c>
    </row>
    <row r="15" customFormat="false" ht="15" hidden="false" customHeight="false" outlineLevel="0" collapsed="false">
      <c r="B15" s="114" t="n">
        <v>10</v>
      </c>
      <c r="C15" s="115" t="n">
        <f aca="false">(1-ENTRADAS!$C$33)*(1-ENTRADAS!$C$34)^(10-1)</f>
        <v>0.941016968997345</v>
      </c>
      <c r="D15" s="116" t="n">
        <f aca="false">ECONOMIA!C$26*C15/$C$6*(1+ENTRADAS!$C$27)^(10-1)</f>
        <v>13554.6792436225</v>
      </c>
      <c r="E15" s="116" t="n">
        <f aca="false">E14+D15</f>
        <v>103704.263291657</v>
      </c>
      <c r="F15" s="116" t="n">
        <f aca="false">E15-COMPARATIVO!C$34</f>
        <v>73905.5632916572</v>
      </c>
      <c r="G15" s="116" t="n">
        <f aca="false">ECONOMIA!D$26*C15/$C$6*(1+ENTRADAS!$C$27)^(10-1)</f>
        <v>13321.3609218901</v>
      </c>
      <c r="H15" s="116" t="n">
        <f aca="false">H14+G15</f>
        <v>101919.189352774</v>
      </c>
      <c r="I15" s="116" t="n">
        <f aca="false">H15-COMPARATIVO!D$34</f>
        <v>73041.2893527743</v>
      </c>
      <c r="J15" s="116" t="n">
        <f aca="false">ECONOMIA!E$26*C15/$C$6*(1+ENTRADAS!$C$27)^(10-1)</f>
        <v>11260.3824132536</v>
      </c>
      <c r="K15" s="116" t="n">
        <f aca="false">K14+J15</f>
        <v>86151.0362259752</v>
      </c>
      <c r="L15" s="116" t="n">
        <f aca="false">K15-COMPARATIVO!E$34</f>
        <v>67630.6962259753</v>
      </c>
      <c r="M15" s="116" t="n">
        <f aca="false">ECONOMIA!F$26*C15/$C$6*(1+ENTRADAS!$C$27)^(10-1)</f>
        <v>11260.3824132536</v>
      </c>
      <c r="N15" s="116" t="n">
        <f aca="false">N14+M15</f>
        <v>86151.0362259752</v>
      </c>
      <c r="O15" s="116" t="n">
        <f aca="false">N15-COMPARATIVO!F$34</f>
        <v>66630.6962259753</v>
      </c>
      <c r="P15" s="116" t="n">
        <f aca="false">ECONOMIA!G$26*C15/$C$6*(1+ENTRADAS!$C$27)^(10-1)</f>
        <v>9607.71096764888</v>
      </c>
      <c r="Q15" s="116" t="n">
        <f aca="false">Q14+P15</f>
        <v>73506.7624922213</v>
      </c>
      <c r="R15" s="116" t="n">
        <f aca="false">Q15-COMPARATIVO!G$34</f>
        <v>52157.8524922213</v>
      </c>
      <c r="S15" s="116" t="n">
        <f aca="false">ECONOMIA!H$26*C15/$C$6*(1+ENTRADAS!$C$27)^(10-1)</f>
        <v>8305.01700464281</v>
      </c>
      <c r="T15" s="116" t="n">
        <f aca="false">T14+S15</f>
        <v>63540.0996667917</v>
      </c>
      <c r="U15" s="116" t="n">
        <f aca="false">T15-COMPARATIVO!H$34</f>
        <v>48652.4596667917</v>
      </c>
      <c r="V15" s="116" t="n">
        <f aca="false">ECONOMIA!I$26*C15/$C$6*(1+ENTRADAS!$C$27)^(10-1)</f>
        <v>11843.6782175847</v>
      </c>
      <c r="W15" s="116" t="n">
        <f aca="false">W14+V15</f>
        <v>90613.7210731825</v>
      </c>
      <c r="X15" s="116" t="n">
        <f aca="false">W15-COMPARATIVO!I$34</f>
        <v>69533.1810731825</v>
      </c>
      <c r="Y15" s="116" t="n">
        <f aca="false">ECONOMIA!J$26*C15/$C$6*(1+ENTRADAS!$C$27)^(10-1)</f>
        <v>10677.0866089225</v>
      </c>
      <c r="Z15" s="116" t="n">
        <f aca="false">Z14+Y15</f>
        <v>81688.351378768</v>
      </c>
      <c r="AA15" s="116" t="n">
        <f aca="false">Z15-COMPARATIVO!J$34</f>
        <v>60455.351378768</v>
      </c>
      <c r="AB15" s="116" t="n">
        <f aca="false">ECONOMIA!K$26*C15/$C$6*(1+ENTRADAS!$C$27)^(10-1)</f>
        <v>12465.8604088712</v>
      </c>
      <c r="AC15" s="116" t="n">
        <f aca="false">AC14+AB15</f>
        <v>95373.9182435369</v>
      </c>
      <c r="AD15" s="116" t="n">
        <f aca="false">AC15-COMPARATIVO!K$34</f>
        <v>75983.9182435369</v>
      </c>
      <c r="AE15" s="116" t="n">
        <f aca="false">ECONOMIA!L$26*C15/$C$6*(1+ENTRADAS!$C$27)^(10-1)</f>
        <v>8771.65364810767</v>
      </c>
      <c r="AF15" s="116" t="n">
        <f aca="false">AF14+AE15</f>
        <v>67110.2475445575</v>
      </c>
      <c r="AG15" s="116" t="n">
        <f aca="false">AF15-COMPARATIVO!L$34</f>
        <v>47168.2475445575</v>
      </c>
      <c r="AH15" s="116" t="n">
        <f aca="false">ECONOMIA!M$26*C15/$C$6*(1+ENTRADAS!$C$27)^(10-1)</f>
        <v>13992.7369321428</v>
      </c>
      <c r="AI15" s="116" t="n">
        <f aca="false">AI14+AH15</f>
        <v>107055.759040892</v>
      </c>
      <c r="AJ15" s="116" t="n">
        <f aca="false">AI15-COMPARATIVO!M$34</f>
        <v>84175.2190408917</v>
      </c>
      <c r="AK15" s="116" t="n">
        <f aca="false">ECONOMIA!N$26*C15/$C$6*(1+ENTRADAS!$C$27)^(10-1)</f>
        <v>14030.7390930982</v>
      </c>
      <c r="AL15" s="116" t="n">
        <f aca="false">AL14+AK15</f>
        <v>107346.506319713</v>
      </c>
      <c r="AM15" s="116" t="n">
        <f aca="false">AL15-COMPARATIVO!N$34</f>
        <v>82665.9663197128</v>
      </c>
    </row>
    <row r="16" customFormat="false" ht="15" hidden="false" customHeight="false" outlineLevel="0" collapsed="false">
      <c r="B16" s="112" t="n">
        <v>11</v>
      </c>
      <c r="C16" s="40" t="n">
        <f aca="false">(1-ENTRADAS!$C$33)*(1-ENTRADAS!$C$34)^(11-1)</f>
        <v>0.936782392636857</v>
      </c>
      <c r="D16" s="113" t="n">
        <f aca="false">ECONOMIA!C$26*C16/$C$6*(1+ENTRADAS!$C$27)^(11-1)</f>
        <v>14438.241010118</v>
      </c>
      <c r="E16" s="113" t="n">
        <f aca="false">E15+D16</f>
        <v>118142.504301775</v>
      </c>
      <c r="F16" s="113" t="n">
        <f aca="false">E16-COMPARATIVO!C$34</f>
        <v>88343.8043017753</v>
      </c>
      <c r="G16" s="113" t="n">
        <f aca="false">ECONOMIA!D$26*C16/$C$6*(1+ENTRADAS!$C$27)^(11-1)</f>
        <v>14189.7138335835</v>
      </c>
      <c r="H16" s="113" t="n">
        <f aca="false">H15+G16</f>
        <v>116108.903186358</v>
      </c>
      <c r="I16" s="113" t="n">
        <f aca="false">H16-COMPARATIVO!D$34</f>
        <v>87231.0031863578</v>
      </c>
      <c r="J16" s="113" t="n">
        <f aca="false">ECONOMIA!E$26*C16/$C$6*(1+ENTRADAS!$C$27)^(11-1)</f>
        <v>11994.3904408615</v>
      </c>
      <c r="K16" s="113" t="n">
        <f aca="false">K15+J16</f>
        <v>98145.4266668368</v>
      </c>
      <c r="L16" s="113" t="n">
        <f aca="false">K16-COMPARATIVO!E$34</f>
        <v>79625.0866668368</v>
      </c>
      <c r="M16" s="113" t="n">
        <f aca="false">ECONOMIA!F$26*C16/$C$6*(1+ENTRADAS!$C$27)^(11-1)</f>
        <v>11994.3904408615</v>
      </c>
      <c r="N16" s="113" t="n">
        <f aca="false">N15+M16</f>
        <v>98145.4266668368</v>
      </c>
      <c r="O16" s="113" t="n">
        <f aca="false">N16-COMPARATIVO!F$34</f>
        <v>78625.0866668368</v>
      </c>
      <c r="P16" s="113" t="n">
        <f aca="false">ECONOMIA!G$26*C16/$C$6*(1+ENTRADAS!$C$27)^(11-1)</f>
        <v>10233.9896070751</v>
      </c>
      <c r="Q16" s="113" t="n">
        <f aca="false">Q15+P16</f>
        <v>83740.7520992964</v>
      </c>
      <c r="R16" s="113" t="n">
        <f aca="false">Q16-COMPARATIVO!G$34</f>
        <v>62391.8420992964</v>
      </c>
      <c r="S16" s="113" t="n">
        <f aca="false">ECONOMIA!H$26*C16/$C$6*(1+ENTRADAS!$C$27)^(11-1)</f>
        <v>8846.37953809045</v>
      </c>
      <c r="T16" s="113" t="n">
        <f aca="false">T15+S16</f>
        <v>72386.4792048822</v>
      </c>
      <c r="U16" s="113" t="n">
        <f aca="false">T16-COMPARATIVO!H$34</f>
        <v>57498.8392048822</v>
      </c>
      <c r="V16" s="113" t="n">
        <f aca="false">ECONOMIA!I$26*C16/$C$6*(1+ENTRADAS!$C$27)^(11-1)</f>
        <v>12615.7083821979</v>
      </c>
      <c r="W16" s="113" t="n">
        <f aca="false">W15+V16</f>
        <v>103229.42945538</v>
      </c>
      <c r="X16" s="113" t="n">
        <f aca="false">W16-COMPARATIVO!I$34</f>
        <v>82148.8894553805</v>
      </c>
      <c r="Y16" s="113" t="n">
        <f aca="false">ECONOMIA!J$26*C16/$C$6*(1+ENTRADAS!$C$27)^(11-1)</f>
        <v>11373.0724995251</v>
      </c>
      <c r="Z16" s="113" t="n">
        <f aca="false">Z15+Y16</f>
        <v>93061.4238782931</v>
      </c>
      <c r="AA16" s="113" t="n">
        <f aca="false">Z16-COMPARATIVO!J$34</f>
        <v>71828.4238782931</v>
      </c>
      <c r="AB16" s="113" t="n">
        <f aca="false">ECONOMIA!K$26*C16/$C$6*(1+ENTRADAS!$C$27)^(11-1)</f>
        <v>13278.4475196234</v>
      </c>
      <c r="AC16" s="113" t="n">
        <f aca="false">AC15+AB16</f>
        <v>108652.36576316</v>
      </c>
      <c r="AD16" s="113" t="n">
        <f aca="false">AC16-COMPARATIVO!K$34</f>
        <v>89262.3657631604</v>
      </c>
      <c r="AE16" s="113" t="n">
        <f aca="false">ECONOMIA!L$26*C16/$C$6*(1+ENTRADAS!$C$27)^(11-1)</f>
        <v>9343.43389115956</v>
      </c>
      <c r="AF16" s="113" t="n">
        <f aca="false">AF15+AE16</f>
        <v>76453.6814357171</v>
      </c>
      <c r="AG16" s="113" t="n">
        <f aca="false">AF16-COMPARATIVO!L$34</f>
        <v>56511.6814357171</v>
      </c>
      <c r="AH16" s="113" t="n">
        <f aca="false">ECONOMIA!M$26*C16/$C$6*(1+ENTRADAS!$C$27)^(11-1)</f>
        <v>14904.8534890645</v>
      </c>
      <c r="AI16" s="113" t="n">
        <f aca="false">AI15+AH16</f>
        <v>121960.612529956</v>
      </c>
      <c r="AJ16" s="113" t="n">
        <f aca="false">AI16-COMPARATIVO!M$34</f>
        <v>99080.0725299562</v>
      </c>
      <c r="AK16" s="113" t="n">
        <f aca="false">ECONOMIA!N$26*C16/$C$6*(1+ENTRADAS!$C$27)^(11-1)</f>
        <v>14945.3328208818</v>
      </c>
      <c r="AL16" s="113" t="n">
        <f aca="false">AL15+AK16</f>
        <v>122291.839140595</v>
      </c>
      <c r="AM16" s="113" t="n">
        <f aca="false">AL16-COMPARATIVO!N$34</f>
        <v>97611.2991405946</v>
      </c>
    </row>
    <row r="17" customFormat="false" ht="15" hidden="false" customHeight="false" outlineLevel="0" collapsed="false">
      <c r="B17" s="112" t="n">
        <v>12</v>
      </c>
      <c r="C17" s="40" t="n">
        <f aca="false">(1-ENTRADAS!$C$33)*(1-ENTRADAS!$C$34)^(12-1)</f>
        <v>0.932566871869991</v>
      </c>
      <c r="D17" s="113" t="n">
        <f aca="false">ECONOMIA!C$26*C17/$C$6*(1+ENTRADAS!$C$27)^(12-1)</f>
        <v>15379.3977503626</v>
      </c>
      <c r="E17" s="113" t="n">
        <f aca="false">E16+D17</f>
        <v>133521.902052138</v>
      </c>
      <c r="F17" s="113" t="n">
        <f aca="false">E17-COMPARATIVO!C$34</f>
        <v>103723.202052138</v>
      </c>
      <c r="G17" s="113" t="n">
        <f aca="false">ECONOMIA!D$26*C17/$C$6*(1+ENTRADAS!$C$27)^(12-1)</f>
        <v>15114.6703298256</v>
      </c>
      <c r="H17" s="113" t="n">
        <f aca="false">H16+G17</f>
        <v>131223.573516183</v>
      </c>
      <c r="I17" s="113" t="n">
        <f aca="false">H17-COMPARATIVO!D$34</f>
        <v>102345.673516183</v>
      </c>
      <c r="J17" s="113" t="n">
        <f aca="false">ECONOMIA!E$26*C17/$C$6*(1+ENTRADAS!$C$27)^(12-1)</f>
        <v>12776.2447817491</v>
      </c>
      <c r="K17" s="113" t="n">
        <f aca="false">K16+J17</f>
        <v>110921.671448586</v>
      </c>
      <c r="L17" s="113" t="n">
        <f aca="false">K17-COMPARATIVO!E$34</f>
        <v>92401.3314485859</v>
      </c>
      <c r="M17" s="113" t="n">
        <f aca="false">ECONOMIA!F$26*C17/$C$6*(1+ENTRADAS!$C$27)^(12-1)</f>
        <v>12776.2447817491</v>
      </c>
      <c r="N17" s="113" t="n">
        <f aca="false">N16+M17</f>
        <v>110921.671448586</v>
      </c>
      <c r="O17" s="113" t="n">
        <f aca="false">N17-COMPARATIVO!F$34</f>
        <v>91401.3314485859</v>
      </c>
      <c r="P17" s="113" t="n">
        <f aca="false">ECONOMIA!G$26*C17/$C$6*(1+ENTRADAS!$C$27)^(12-1)</f>
        <v>10901.0922196123</v>
      </c>
      <c r="Q17" s="113" t="n">
        <f aca="false">Q16+P17</f>
        <v>94641.8443189086</v>
      </c>
      <c r="R17" s="113" t="n">
        <f aca="false">Q17-COMPARATIVO!G$34</f>
        <v>73292.9343189086</v>
      </c>
      <c r="S17" s="113" t="n">
        <f aca="false">ECONOMIA!H$26*C17/$C$6*(1+ENTRADAS!$C$27)^(12-1)</f>
        <v>9423.03078828087</v>
      </c>
      <c r="T17" s="113" t="n">
        <f aca="false">T16+S17</f>
        <v>81809.509993163</v>
      </c>
      <c r="U17" s="113" t="n">
        <f aca="false">T17-COMPARATIVO!H$34</f>
        <v>66921.869993163</v>
      </c>
      <c r="V17" s="113" t="n">
        <f aca="false">ECONOMIA!I$26*C17/$C$6*(1+ENTRADAS!$C$27)^(12-1)</f>
        <v>13438.0633330915</v>
      </c>
      <c r="W17" s="113" t="n">
        <f aca="false">W16+V17</f>
        <v>116667.492788472</v>
      </c>
      <c r="X17" s="113" t="n">
        <f aca="false">W17-COMPARATIVO!I$34</f>
        <v>95586.952788472</v>
      </c>
      <c r="Y17" s="113" t="n">
        <f aca="false">ECONOMIA!J$26*C17/$C$6*(1+ENTRADAS!$C$27)^(12-1)</f>
        <v>12114.4262304067</v>
      </c>
      <c r="Z17" s="113" t="n">
        <f aca="false">Z16+Y17</f>
        <v>105175.8501087</v>
      </c>
      <c r="AA17" s="113" t="n">
        <f aca="false">Z17-COMPARATIVO!J$34</f>
        <v>83942.8501086998</v>
      </c>
      <c r="AB17" s="113" t="n">
        <f aca="false">ECONOMIA!K$26*C17/$C$6*(1+ENTRADAS!$C$27)^(12-1)</f>
        <v>14144.0031211901</v>
      </c>
      <c r="AC17" s="113" t="n">
        <f aca="false">AC16+AB17</f>
        <v>122796.36888435</v>
      </c>
      <c r="AD17" s="113" t="n">
        <f aca="false">AC17-COMPARATIVO!K$34</f>
        <v>103406.36888435</v>
      </c>
      <c r="AE17" s="113" t="n">
        <f aca="false">ECONOMIA!L$26*C17/$C$6*(1+ENTRADAS!$C$27)^(12-1)</f>
        <v>9952.4856293548</v>
      </c>
      <c r="AF17" s="113" t="n">
        <f aca="false">AF16+AE17</f>
        <v>86406.1670650719</v>
      </c>
      <c r="AG17" s="113" t="n">
        <f aca="false">AF17-COMPARATIVO!L$34</f>
        <v>66464.1670650719</v>
      </c>
      <c r="AH17" s="113" t="n">
        <f aca="false">ECONOMIA!M$26*C17/$C$6*(1+ENTRADAS!$C$27)^(12-1)</f>
        <v>15876.4263637492</v>
      </c>
      <c r="AI17" s="113" t="n">
        <f aca="false">AI16+AH17</f>
        <v>137837.038893705</v>
      </c>
      <c r="AJ17" s="113" t="n">
        <f aca="false">AI17-COMPARATIVO!M$34</f>
        <v>114956.498893705</v>
      </c>
      <c r="AK17" s="113" t="n">
        <f aca="false">ECONOMIA!N$26*C17/$C$6*(1+ENTRADAS!$C$27)^(12-1)</f>
        <v>15919.544340811</v>
      </c>
      <c r="AL17" s="113" t="n">
        <f aca="false">AL16+AK17</f>
        <v>138211.383481406</v>
      </c>
      <c r="AM17" s="113" t="n">
        <f aca="false">AL17-COMPARATIVO!N$34</f>
        <v>113530.843481406</v>
      </c>
    </row>
    <row r="18" customFormat="false" ht="15" hidden="false" customHeight="false" outlineLevel="0" collapsed="false">
      <c r="B18" s="112" t="n">
        <v>13</v>
      </c>
      <c r="C18" s="40" t="n">
        <f aca="false">(1-ENTRADAS!$C$33)*(1-ENTRADAS!$C$34)^(13-1)</f>
        <v>0.928370320946576</v>
      </c>
      <c r="D18" s="113" t="n">
        <f aca="false">ECONOMIA!C$26*C18/$C$6*(1+ENTRADAS!$C$27)^(13-1)</f>
        <v>16381.90379272</v>
      </c>
      <c r="E18" s="113" t="n">
        <f aca="false">E17+D18</f>
        <v>149903.805844858</v>
      </c>
      <c r="F18" s="113" t="n">
        <f aca="false">E18-COMPARATIVO!C$34</f>
        <v>120105.105844858</v>
      </c>
      <c r="G18" s="113" t="n">
        <f aca="false">ECONOMIA!D$26*C18/$C$6*(1+ENTRADAS!$C$27)^(13-1)</f>
        <v>16099.9201152753</v>
      </c>
      <c r="H18" s="113" t="n">
        <f aca="false">H17+G18</f>
        <v>147323.493631459</v>
      </c>
      <c r="I18" s="113" t="n">
        <f aca="false">H18-COMPARATIVO!D$34</f>
        <v>118445.593631459</v>
      </c>
      <c r="J18" s="113" t="n">
        <f aca="false">ECONOMIA!E$26*C18/$C$6*(1+ENTRADAS!$C$27)^(13-1)</f>
        <v>13609.0642978474</v>
      </c>
      <c r="K18" s="113" t="n">
        <f aca="false">K17+J18</f>
        <v>124530.735746433</v>
      </c>
      <c r="L18" s="113" t="n">
        <f aca="false">K18-COMPARATIVO!E$34</f>
        <v>106010.395746433</v>
      </c>
      <c r="M18" s="113" t="n">
        <f aca="false">ECONOMIA!F$26*C18/$C$6*(1+ENTRADAS!$C$27)^(13-1)</f>
        <v>13609.0642978474</v>
      </c>
      <c r="N18" s="113" t="n">
        <f aca="false">N17+M18</f>
        <v>124530.735746433</v>
      </c>
      <c r="O18" s="113" t="n">
        <f aca="false">N18-COMPARATIVO!F$34</f>
        <v>105010.395746433</v>
      </c>
      <c r="P18" s="113" t="n">
        <f aca="false">ECONOMIA!G$26*C18/$C$6*(1+ENTRADAS!$C$27)^(13-1)</f>
        <v>11611.6799159477</v>
      </c>
      <c r="Q18" s="113" t="n">
        <f aca="false">Q17+P18</f>
        <v>106253.524234856</v>
      </c>
      <c r="R18" s="113" t="n">
        <f aca="false">Q18-COMPARATIVO!G$34</f>
        <v>84904.6142348563</v>
      </c>
      <c r="S18" s="113" t="n">
        <f aca="false">ECONOMIA!H$26*C18/$C$6*(1+ENTRADAS!$C$27)^(13-1)</f>
        <v>10037.271050215</v>
      </c>
      <c r="T18" s="113" t="n">
        <f aca="false">T17+S18</f>
        <v>91846.781043378</v>
      </c>
      <c r="U18" s="113" t="n">
        <f aca="false">T18-COMPARATIVO!H$34</f>
        <v>76959.141043378</v>
      </c>
      <c r="V18" s="113" t="n">
        <f aca="false">ECONOMIA!I$26*C18/$C$6*(1+ENTRADAS!$C$27)^(13-1)</f>
        <v>14314.0234914591</v>
      </c>
      <c r="W18" s="113" t="n">
        <f aca="false">W17+V18</f>
        <v>130981.516279931</v>
      </c>
      <c r="X18" s="113" t="n">
        <f aca="false">W18-COMPARATIVO!I$34</f>
        <v>109900.976279931</v>
      </c>
      <c r="Y18" s="113" t="n">
        <f aca="false">ECONOMIA!J$26*C18/$C$6*(1+ENTRADAS!$C$27)^(13-1)</f>
        <v>12904.1051042357</v>
      </c>
      <c r="Z18" s="113" t="n">
        <f aca="false">Z17+Y18</f>
        <v>118079.955212936</v>
      </c>
      <c r="AA18" s="113" t="n">
        <f aca="false">Z18-COMPARATIVO!J$34</f>
        <v>96846.9552129355</v>
      </c>
      <c r="AB18" s="113" t="n">
        <f aca="false">ECONOMIA!K$26*C18/$C$6*(1+ENTRADAS!$C$27)^(13-1)</f>
        <v>15065.9799646449</v>
      </c>
      <c r="AC18" s="113" t="n">
        <f aca="false">AC17+AB18</f>
        <v>137862.348848995</v>
      </c>
      <c r="AD18" s="113" t="n">
        <f aca="false">AC18-COMPARATIVO!K$34</f>
        <v>118472.348848995</v>
      </c>
      <c r="AE18" s="113" t="n">
        <f aca="false">ECONOMIA!L$26*C18/$C$6*(1+ENTRADAS!$C$27)^(13-1)</f>
        <v>10601.2384051043</v>
      </c>
      <c r="AF18" s="113" t="n">
        <f aca="false">AF17+AE18</f>
        <v>97007.4054701762</v>
      </c>
      <c r="AG18" s="113" t="n">
        <f aca="false">AF18-COMPARATIVO!L$34</f>
        <v>77065.4054701762</v>
      </c>
      <c r="AH18" s="113" t="n">
        <f aca="false">ECONOMIA!M$26*C18/$C$6*(1+ENTRADAS!$C$27)^(13-1)</f>
        <v>16911.3312162701</v>
      </c>
      <c r="AI18" s="113" t="n">
        <f aca="false">AI17+AH18</f>
        <v>154748.370109976</v>
      </c>
      <c r="AJ18" s="113" t="n">
        <f aca="false">AI18-COMPARATIVO!M$34</f>
        <v>131867.830109976</v>
      </c>
      <c r="AK18" s="113" t="n">
        <f aca="false">ECONOMIA!N$26*C18/$C$6*(1+ENTRADAS!$C$27)^(13-1)</f>
        <v>16957.2598386668</v>
      </c>
      <c r="AL18" s="113" t="n">
        <f aca="false">AL17+AK18</f>
        <v>155168.643320072</v>
      </c>
      <c r="AM18" s="113" t="n">
        <f aca="false">AL18-COMPARATIVO!N$34</f>
        <v>130488.103320072</v>
      </c>
    </row>
    <row r="19" customFormat="false" ht="15" hidden="false" customHeight="false" outlineLevel="0" collapsed="false">
      <c r="B19" s="112" t="n">
        <v>14</v>
      </c>
      <c r="C19" s="40" t="n">
        <f aca="false">(1-ENTRADAS!$C$33)*(1-ENTRADAS!$C$34)^(14-1)</f>
        <v>0.924192654502317</v>
      </c>
      <c r="D19" s="113" t="n">
        <f aca="false">ECONOMIA!C$26*C19/$C$6*(1+ENTRADAS!$C$27)^(14-1)</f>
        <v>17449.7581914484</v>
      </c>
      <c r="E19" s="113" t="n">
        <f aca="false">E18+D19</f>
        <v>167353.564036306</v>
      </c>
      <c r="F19" s="113" t="n">
        <f aca="false">E19-COMPARATIVO!C$34</f>
        <v>137554.864036306</v>
      </c>
      <c r="G19" s="113" t="n">
        <f aca="false">ECONOMIA!D$26*C19/$C$6*(1+ENTRADAS!$C$27)^(14-1)</f>
        <v>17149.3934079895</v>
      </c>
      <c r="H19" s="113" t="n">
        <f aca="false">H18+G19</f>
        <v>164472.887039448</v>
      </c>
      <c r="I19" s="113" t="n">
        <f aca="false">H19-COMPARATIVO!D$34</f>
        <v>135594.987039448</v>
      </c>
      <c r="J19" s="113" t="n">
        <f aca="false">ECONOMIA!E$26*C19/$C$6*(1+ENTRADAS!$C$27)^(14-1)</f>
        <v>14496.1711541026</v>
      </c>
      <c r="K19" s="113" t="n">
        <f aca="false">K18+J19</f>
        <v>139026.906900536</v>
      </c>
      <c r="L19" s="113" t="n">
        <f aca="false">K19-COMPARATIVO!E$34</f>
        <v>120506.566900536</v>
      </c>
      <c r="M19" s="113" t="n">
        <f aca="false">ECONOMIA!F$26*C19/$C$6*(1+ENTRADAS!$C$27)^(14-1)</f>
        <v>14496.1711541026</v>
      </c>
      <c r="N19" s="113" t="n">
        <f aca="false">N18+M19</f>
        <v>139026.906900536</v>
      </c>
      <c r="O19" s="113" t="n">
        <f aca="false">N19-COMPARATIVO!F$34</f>
        <v>119506.566900536</v>
      </c>
      <c r="P19" s="113" t="n">
        <f aca="false">ECONOMIA!G$26*C19/$C$6*(1+ENTRADAS!$C$27)^(14-1)</f>
        <v>12368.5872712687</v>
      </c>
      <c r="Q19" s="113" t="n">
        <f aca="false">Q18+P19</f>
        <v>118622.111506125</v>
      </c>
      <c r="R19" s="113" t="n">
        <f aca="false">Q19-COMPARATIVO!G$34</f>
        <v>97273.201506125</v>
      </c>
      <c r="S19" s="113" t="n">
        <f aca="false">ECONOMIA!H$26*C19/$C$6*(1+ENTRADAS!$C$27)^(14-1)</f>
        <v>10691.5505636232</v>
      </c>
      <c r="T19" s="113" t="n">
        <f aca="false">T18+S19</f>
        <v>102538.331607001</v>
      </c>
      <c r="U19" s="113" t="n">
        <f aca="false">T19-COMPARATIVO!H$34</f>
        <v>87650.6916070012</v>
      </c>
      <c r="V19" s="113" t="n">
        <f aca="false">ECONOMIA!I$26*C19/$C$6*(1+ENTRADAS!$C$27)^(14-1)</f>
        <v>15247.0831127499</v>
      </c>
      <c r="W19" s="113" t="n">
        <f aca="false">W18+V19</f>
        <v>146228.599392681</v>
      </c>
      <c r="X19" s="113" t="n">
        <f aca="false">W19-COMPARATIVO!I$34</f>
        <v>125148.059392681</v>
      </c>
      <c r="Y19" s="113" t="n">
        <f aca="false">ECONOMIA!J$26*C19/$C$6*(1+ENTRADAS!$C$27)^(14-1)</f>
        <v>13745.2591954554</v>
      </c>
      <c r="Z19" s="113" t="n">
        <f aca="false">Z18+Y19</f>
        <v>131825.214408391</v>
      </c>
      <c r="AA19" s="113" t="n">
        <f aca="false">Z19-COMPARATIVO!J$34</f>
        <v>110592.214408391</v>
      </c>
      <c r="AB19" s="113" t="n">
        <f aca="false">ECONOMIA!K$26*C19/$C$6*(1+ENTRADAS!$C$27)^(14-1)</f>
        <v>16048.0558686402</v>
      </c>
      <c r="AC19" s="113" t="n">
        <f aca="false">AC18+AB19</f>
        <v>153910.404717636</v>
      </c>
      <c r="AD19" s="113" t="n">
        <f aca="false">AC19-COMPARATIVO!K$34</f>
        <v>134520.404717636</v>
      </c>
      <c r="AE19" s="113" t="n">
        <f aca="false">ECONOMIA!L$26*C19/$C$6*(1+ENTRADAS!$C$27)^(14-1)</f>
        <v>11292.280130541</v>
      </c>
      <c r="AF19" s="113" t="n">
        <f aca="false">AF18+AE19</f>
        <v>108299.685600717</v>
      </c>
      <c r="AG19" s="113" t="n">
        <f aca="false">AF19-COMPARATIVO!L$34</f>
        <v>88357.6856007172</v>
      </c>
      <c r="AH19" s="113" t="n">
        <f aca="false">ECONOMIA!M$26*C19/$C$6*(1+ENTRADAS!$C$27)^(14-1)</f>
        <v>18013.6963416027</v>
      </c>
      <c r="AI19" s="113" t="n">
        <f aca="false">AI18+AH19</f>
        <v>172762.066451578</v>
      </c>
      <c r="AJ19" s="113" t="n">
        <f aca="false">AI19-COMPARATIVO!M$34</f>
        <v>149881.526451578</v>
      </c>
      <c r="AK19" s="113" t="n">
        <f aca="false">ECONOMIA!N$26*C19/$C$6*(1+ENTRADAS!$C$27)^(14-1)</f>
        <v>18062.6188212503</v>
      </c>
      <c r="AL19" s="113" t="n">
        <f aca="false">AL18+AK19</f>
        <v>173231.262141323</v>
      </c>
      <c r="AM19" s="113" t="n">
        <f aca="false">AL19-COMPARATIVO!N$34</f>
        <v>148550.722141323</v>
      </c>
    </row>
    <row r="20" customFormat="false" ht="15" hidden="false" customHeight="false" outlineLevel="0" collapsed="false">
      <c r="B20" s="112" t="n">
        <v>15</v>
      </c>
      <c r="C20" s="40" t="n">
        <f aca="false">(1-ENTRADAS!$C$33)*(1-ENTRADAS!$C$34)^(15-1)</f>
        <v>0.920033787557056</v>
      </c>
      <c r="D20" s="113" t="n">
        <f aca="false">ECONOMIA!C$26*C20/$C$6*(1+ENTRADAS!$C$27)^(15-1)</f>
        <v>18587.220679158</v>
      </c>
      <c r="E20" s="113" t="n">
        <f aca="false">E19+D20</f>
        <v>185940.784715464</v>
      </c>
      <c r="F20" s="113" t="n">
        <f aca="false">E20-COMPARATIVO!C$34</f>
        <v>156142.084715464</v>
      </c>
      <c r="G20" s="113" t="n">
        <f aca="false">ECONOMIA!D$26*C20/$C$6*(1+ENTRADAS!$C$27)^(15-1)</f>
        <v>18267.2766172893</v>
      </c>
      <c r="H20" s="113" t="n">
        <f aca="false">H19+G20</f>
        <v>182740.163656738</v>
      </c>
      <c r="I20" s="113" t="n">
        <f aca="false">H20-COMPARATIVO!D$34</f>
        <v>153862.263656738</v>
      </c>
      <c r="J20" s="113" t="n">
        <f aca="false">ECONOMIA!E$26*C20/$C$6*(1+ENTRADAS!$C$27)^(15-1)</f>
        <v>15441.1040707828</v>
      </c>
      <c r="K20" s="113" t="n">
        <f aca="false">K19+J20</f>
        <v>154468.010971319</v>
      </c>
      <c r="L20" s="113" t="n">
        <f aca="false">K20-COMPARATIVO!E$34</f>
        <v>135947.670971319</v>
      </c>
      <c r="M20" s="113" t="n">
        <f aca="false">ECONOMIA!F$26*C20/$C$6*(1+ENTRADAS!$C$27)^(15-1)</f>
        <v>15441.1040707828</v>
      </c>
      <c r="N20" s="113" t="n">
        <f aca="false">N19+M20</f>
        <v>154468.010971319</v>
      </c>
      <c r="O20" s="113" t="n">
        <f aca="false">N20-COMPARATIVO!F$34</f>
        <v>134947.670971319</v>
      </c>
      <c r="P20" s="113" t="n">
        <f aca="false">ECONOMIA!G$26*C20/$C$6*(1+ENTRADAS!$C$27)^(15-1)</f>
        <v>13174.8336325464</v>
      </c>
      <c r="Q20" s="113" t="n">
        <f aca="false">Q19+P20</f>
        <v>131796.945138671</v>
      </c>
      <c r="R20" s="113" t="n">
        <f aca="false">Q20-COMPARATIVO!G$34</f>
        <v>110448.035138671</v>
      </c>
      <c r="S20" s="113" t="n">
        <f aca="false">ECONOMIA!H$26*C20/$C$6*(1+ENTRADAS!$C$27)^(15-1)</f>
        <v>11388.479287113</v>
      </c>
      <c r="T20" s="113" t="n">
        <f aca="false">T19+S20</f>
        <v>113926.810894114</v>
      </c>
      <c r="U20" s="113" t="n">
        <f aca="false">T20-COMPARATIVO!H$34</f>
        <v>99039.1708941142</v>
      </c>
      <c r="V20" s="113" t="n">
        <f aca="false">ECONOMIA!I$26*C20/$C$6*(1+ENTRADAS!$C$27)^(15-1)</f>
        <v>16240.9642254545</v>
      </c>
      <c r="W20" s="113" t="n">
        <f aca="false">W19+V20</f>
        <v>162469.563618135</v>
      </c>
      <c r="X20" s="113" t="n">
        <f aca="false">W20-COMPARATIVO!I$34</f>
        <v>141389.023618135</v>
      </c>
      <c r="Y20" s="113" t="n">
        <f aca="false">ECONOMIA!J$26*C20/$C$6*(1+ENTRADAS!$C$27)^(15-1)</f>
        <v>14641.2439161111</v>
      </c>
      <c r="Z20" s="113" t="n">
        <f aca="false">Z19+Y20</f>
        <v>146466.458324502</v>
      </c>
      <c r="AA20" s="113" t="n">
        <f aca="false">Z20-COMPARATIVO!J$34</f>
        <v>125233.458324502</v>
      </c>
      <c r="AB20" s="113" t="n">
        <f aca="false">ECONOMIA!K$26*C20/$C$6*(1+ENTRADAS!$C$27)^(15-1)</f>
        <v>17094.1483904376</v>
      </c>
      <c r="AC20" s="113" t="n">
        <f aca="false">AC19+AB20</f>
        <v>171004.553108073</v>
      </c>
      <c r="AD20" s="113" t="n">
        <f aca="false">AC20-COMPARATIVO!K$34</f>
        <v>151614.553108073</v>
      </c>
      <c r="AE20" s="113" t="n">
        <f aca="false">ECONOMIA!L$26*C20/$C$6*(1+ENTRADAS!$C$27)^(15-1)</f>
        <v>12028.3674108503</v>
      </c>
      <c r="AF20" s="113" t="n">
        <f aca="false">AF19+AE20</f>
        <v>120328.053011568</v>
      </c>
      <c r="AG20" s="113" t="n">
        <f aca="false">AF20-COMPARATIVO!L$34</f>
        <v>100386.053011568</v>
      </c>
      <c r="AH20" s="113" t="n">
        <f aca="false">ECONOMIA!M$26*C20/$C$6*(1+ENTRADAS!$C$27)^(15-1)</f>
        <v>19187.9191376301</v>
      </c>
      <c r="AI20" s="113" t="n">
        <f aca="false">AI19+AH20</f>
        <v>191949.985589208</v>
      </c>
      <c r="AJ20" s="113" t="n">
        <f aca="false">AI20-COMPARATIVO!M$34</f>
        <v>169069.445589208</v>
      </c>
      <c r="AK20" s="113" t="n">
        <f aca="false">ECONOMIA!N$26*C20/$C$6*(1+ENTRADAS!$C$27)^(15-1)</f>
        <v>19240.0306291135</v>
      </c>
      <c r="AL20" s="113" t="n">
        <f aca="false">AL19+AK20</f>
        <v>192471.292770436</v>
      </c>
      <c r="AM20" s="113" t="n">
        <f aca="false">AL20-COMPARATIVO!N$34</f>
        <v>167790.752770436</v>
      </c>
    </row>
    <row r="21" customFormat="false" ht="15" hidden="false" customHeight="false" outlineLevel="0" collapsed="false">
      <c r="B21" s="112" t="n">
        <v>16</v>
      </c>
      <c r="C21" s="40" t="n">
        <f aca="false">(1-ENTRADAS!$C$33)*(1-ENTRADAS!$C$34)^(16-1)</f>
        <v>0.91589363551305</v>
      </c>
      <c r="D21" s="113" t="n">
        <f aca="false">ECONOMIA!C$26*C21/$C$6*(1+ENTRADAS!$C$27)^(16-1)</f>
        <v>19798.8286591289</v>
      </c>
      <c r="E21" s="113" t="n">
        <f aca="false">E20+D21</f>
        <v>205739.613374593</v>
      </c>
      <c r="F21" s="113" t="n">
        <f aca="false">E21-COMPARATIVO!C$34</f>
        <v>175940.913374593</v>
      </c>
      <c r="G21" s="113" t="n">
        <f aca="false">ECONOMIA!D$26*C21/$C$6*(1+ENTRADAS!$C$27)^(16-1)</f>
        <v>19458.0290435873</v>
      </c>
      <c r="H21" s="113" t="n">
        <f aca="false">H20+G21</f>
        <v>202198.192700325</v>
      </c>
      <c r="I21" s="113" t="n">
        <f aca="false">H21-COMPARATIVO!D$34</f>
        <v>173320.292700325</v>
      </c>
      <c r="J21" s="113" t="n">
        <f aca="false">ECONOMIA!E$26*C21/$C$6*(1+ENTRADAS!$C$27)^(16-1)</f>
        <v>16447.6324396368</v>
      </c>
      <c r="K21" s="113" t="n">
        <f aca="false">K20+J21</f>
        <v>170915.643410955</v>
      </c>
      <c r="L21" s="113" t="n">
        <f aca="false">K21-COMPARATIVO!E$34</f>
        <v>152395.303410955</v>
      </c>
      <c r="M21" s="113" t="n">
        <f aca="false">ECONOMIA!F$26*C21/$C$6*(1+ENTRADAS!$C$27)^(16-1)</f>
        <v>16447.6324396368</v>
      </c>
      <c r="N21" s="113" t="n">
        <f aca="false">N20+M21</f>
        <v>170915.643410955</v>
      </c>
      <c r="O21" s="113" t="n">
        <f aca="false">N21-COMPARATIVO!F$34</f>
        <v>151395.303410955</v>
      </c>
      <c r="P21" s="113" t="n">
        <f aca="false">ECONOMIA!G$26*C21/$C$6*(1+ENTRADAS!$C$27)^(16-1)</f>
        <v>14033.6351628839</v>
      </c>
      <c r="Q21" s="113" t="n">
        <f aca="false">Q20+P21</f>
        <v>145830.580301555</v>
      </c>
      <c r="R21" s="113" t="n">
        <f aca="false">Q21-COMPARATIVO!G$34</f>
        <v>124481.670301555</v>
      </c>
      <c r="S21" s="113" t="n">
        <f aca="false">ECONOMIA!H$26*C21/$C$6*(1+ENTRADAS!$C$27)^(16-1)</f>
        <v>12130.8373094435</v>
      </c>
      <c r="T21" s="113" t="n">
        <f aca="false">T20+S21</f>
        <v>126057.648203558</v>
      </c>
      <c r="U21" s="113" t="n">
        <f aca="false">T21-COMPARATIVO!H$34</f>
        <v>111170.008203558</v>
      </c>
      <c r="V21" s="113" t="n">
        <f aca="false">ECONOMIA!I$26*C21/$C$6*(1+ENTRADAS!$C$27)^(16-1)</f>
        <v>17299.6314784907</v>
      </c>
      <c r="W21" s="113" t="n">
        <f aca="false">W20+V21</f>
        <v>179769.195096626</v>
      </c>
      <c r="X21" s="113" t="n">
        <f aca="false">W21-COMPARATIVO!I$34</f>
        <v>158688.655096626</v>
      </c>
      <c r="Y21" s="113" t="n">
        <f aca="false">ECONOMIA!J$26*C21/$C$6*(1+ENTRADAS!$C$27)^(16-1)</f>
        <v>15595.6334007828</v>
      </c>
      <c r="Z21" s="113" t="n">
        <f aca="false">Z20+Y21</f>
        <v>162062.091725285</v>
      </c>
      <c r="AA21" s="113" t="n">
        <f aca="false">Z21-COMPARATIVO!J$34</f>
        <v>140829.091725285</v>
      </c>
      <c r="AB21" s="113" t="n">
        <f aca="false">ECONOMIA!K$26*C21/$C$6*(1+ENTRADAS!$C$27)^(16-1)</f>
        <v>18208.4304532682</v>
      </c>
      <c r="AC21" s="113" t="n">
        <f aca="false">AC20+AB21</f>
        <v>189212.983561341</v>
      </c>
      <c r="AD21" s="113" t="n">
        <f aca="false">AC21-COMPARATIVO!K$34</f>
        <v>169822.983561341</v>
      </c>
      <c r="AE21" s="113" t="n">
        <f aca="false">ECONOMIA!L$26*C21/$C$6*(1+ENTRADAS!$C$27)^(16-1)</f>
        <v>12812.4365405266</v>
      </c>
      <c r="AF21" s="113" t="n">
        <f aca="false">AF20+AE21</f>
        <v>133140.489552094</v>
      </c>
      <c r="AG21" s="113" t="n">
        <f aca="false">AF21-COMPARATIVO!L$34</f>
        <v>113198.489552094</v>
      </c>
      <c r="AH21" s="113" t="n">
        <f aca="false">ECONOMIA!M$26*C21/$C$6*(1+ENTRADAS!$C$27)^(16-1)</f>
        <v>20438.6836466165</v>
      </c>
      <c r="AI21" s="113" t="n">
        <f aca="false">AI20+AH21</f>
        <v>212388.669235825</v>
      </c>
      <c r="AJ21" s="113" t="n">
        <f aca="false">AI21-COMPARATIVO!M$34</f>
        <v>189508.129235825</v>
      </c>
      <c r="AK21" s="113" t="n">
        <f aca="false">ECONOMIA!N$26*C21/$C$6*(1+ENTRADAS!$C$27)^(16-1)</f>
        <v>20494.1920256722</v>
      </c>
      <c r="AL21" s="113" t="n">
        <f aca="false">AL20+AK21</f>
        <v>212965.484796108</v>
      </c>
      <c r="AM21" s="113" t="n">
        <f aca="false">AL21-COMPARATIVO!N$34</f>
        <v>188284.944796108</v>
      </c>
    </row>
    <row r="22" customFormat="false" ht="15" hidden="false" customHeight="false" outlineLevel="0" collapsed="false">
      <c r="B22" s="112" t="n">
        <v>17</v>
      </c>
      <c r="C22" s="40" t="n">
        <f aca="false">(1-ENTRADAS!$C$33)*(1-ENTRADAS!$C$34)^(17-1)</f>
        <v>0.911772114153241</v>
      </c>
      <c r="D22" s="113" t="n">
        <f aca="false">ECONOMIA!C$26*C22/$C$6*(1+ENTRADAS!$C$27)^(17-1)</f>
        <v>21089.4153052742</v>
      </c>
      <c r="E22" s="113" t="n">
        <f aca="false">E21+D22</f>
        <v>226829.028679867</v>
      </c>
      <c r="F22" s="113" t="n">
        <f aca="false">E22-COMPARATIVO!C$34</f>
        <v>197030.328679867</v>
      </c>
      <c r="G22" s="113" t="n">
        <f aca="false">ECONOMIA!D$26*C22/$C$6*(1+ENTRADAS!$C$27)^(17-1)</f>
        <v>20726.4006667936</v>
      </c>
      <c r="H22" s="113" t="n">
        <f aca="false">H21+G22</f>
        <v>222924.593367119</v>
      </c>
      <c r="I22" s="113" t="n">
        <f aca="false">H22-COMPARATIVO!D$34</f>
        <v>194046.693367119</v>
      </c>
      <c r="J22" s="113" t="n">
        <f aca="false">ECONOMIA!E$26*C22/$C$6*(1+ENTRADAS!$C$27)^(17-1)</f>
        <v>17519.7713602145</v>
      </c>
      <c r="K22" s="113" t="n">
        <f aca="false">K21+J22</f>
        <v>188435.41477117</v>
      </c>
      <c r="L22" s="113" t="n">
        <f aca="false">K22-COMPARATIVO!E$34</f>
        <v>169915.07477117</v>
      </c>
      <c r="M22" s="113" t="n">
        <f aca="false">ECONOMIA!F$26*C22/$C$6*(1+ENTRADAS!$C$27)^(17-1)</f>
        <v>17519.7713602145</v>
      </c>
      <c r="N22" s="113" t="n">
        <f aca="false">N21+M22</f>
        <v>188435.41477117</v>
      </c>
      <c r="O22" s="113" t="n">
        <f aca="false">N22-COMPARATIVO!F$34</f>
        <v>168915.07477117</v>
      </c>
      <c r="P22" s="113" t="n">
        <f aca="false">ECONOMIA!G$26*C22/$C$6*(1+ENTRADAS!$C$27)^(17-1)</f>
        <v>14948.4176709765</v>
      </c>
      <c r="Q22" s="113" t="n">
        <f aca="false">Q21+P22</f>
        <v>160778.997972532</v>
      </c>
      <c r="R22" s="113" t="n">
        <f aca="false">Q22-COMPARATIVO!G$34</f>
        <v>139430.087972532</v>
      </c>
      <c r="S22" s="113" t="n">
        <f aca="false">ECONOMIA!H$26*C22/$C$6*(1+ENTRADAS!$C$27)^(17-1)</f>
        <v>12921.5859394595</v>
      </c>
      <c r="T22" s="113" t="n">
        <f aca="false">T21+S22</f>
        <v>138979.234143017</v>
      </c>
      <c r="U22" s="113" t="n">
        <f aca="false">T22-COMPARATIVO!H$34</f>
        <v>124091.594143017</v>
      </c>
      <c r="V22" s="113" t="n">
        <f aca="false">ECONOMIA!I$26*C22/$C$6*(1+ENTRADAS!$C$27)^(17-1)</f>
        <v>18427.3079564161</v>
      </c>
      <c r="W22" s="113" t="n">
        <f aca="false">W21+V22</f>
        <v>198196.503053042</v>
      </c>
      <c r="X22" s="113" t="n">
        <f aca="false">W22-COMPARATIVO!I$34</f>
        <v>177115.963053042</v>
      </c>
      <c r="Y22" s="113" t="n">
        <f aca="false">ECONOMIA!J$26*C22/$C$6*(1+ENTRADAS!$C$27)^(17-1)</f>
        <v>16612.2347640129</v>
      </c>
      <c r="Z22" s="113" t="n">
        <f aca="false">Z21+Y22</f>
        <v>178674.326489298</v>
      </c>
      <c r="AA22" s="113" t="n">
        <f aca="false">Z22-COMPARATIVO!J$34</f>
        <v>157441.326489298</v>
      </c>
      <c r="AB22" s="113" t="n">
        <f aca="false">ECONOMIA!K$26*C22/$C$6*(1+ENTRADAS!$C$27)^(17-1)</f>
        <v>19395.3469923645</v>
      </c>
      <c r="AC22" s="113" t="n">
        <f aca="false">AC21+AB22</f>
        <v>208608.330553706</v>
      </c>
      <c r="AD22" s="113" t="n">
        <f aca="false">AC22-COMPARATIVO!K$34</f>
        <v>189218.330553706</v>
      </c>
      <c r="AE22" s="113" t="n">
        <f aca="false">ECONOMIA!L$26*C22/$C$6*(1+ENTRADAS!$C$27)^(17-1)</f>
        <v>13647.6152164209</v>
      </c>
      <c r="AF22" s="113" t="n">
        <f aca="false">AF21+AE22</f>
        <v>146788.104768515</v>
      </c>
      <c r="AG22" s="113" t="n">
        <f aca="false">AF22-COMPARATIVO!L$34</f>
        <v>126846.104768515</v>
      </c>
      <c r="AH22" s="113" t="n">
        <f aca="false">ECONOMIA!M$26*C22/$C$6*(1+ENTRADAS!$C$27)^(17-1)</f>
        <v>21770.9792401212</v>
      </c>
      <c r="AI22" s="113" t="n">
        <f aca="false">AI21+AH22</f>
        <v>234159.648475946</v>
      </c>
      <c r="AJ22" s="113" t="n">
        <f aca="false">AI22-COMPARATIVO!M$34</f>
        <v>211279.108475946</v>
      </c>
      <c r="AK22" s="113" t="n">
        <f aca="false">ECONOMIA!N$26*C22/$C$6*(1+ENTRADAS!$C$27)^(17-1)</f>
        <v>21830.1059328657</v>
      </c>
      <c r="AL22" s="113" t="n">
        <f aca="false">AL21+AK22</f>
        <v>234795.590728974</v>
      </c>
      <c r="AM22" s="113" t="n">
        <f aca="false">AL22-COMPARATIVO!N$34</f>
        <v>210115.050728974</v>
      </c>
    </row>
    <row r="23" customFormat="false" ht="15" hidden="false" customHeight="false" outlineLevel="0" collapsed="false">
      <c r="B23" s="112" t="n">
        <v>18</v>
      </c>
      <c r="C23" s="40" t="n">
        <f aca="false">(1-ENTRADAS!$C$33)*(1-ENTRADAS!$C$34)^(18-1)</f>
        <v>0.907669139639551</v>
      </c>
      <c r="D23" s="113" t="n">
        <f aca="false">ECONOMIA!C$26*C23/$C$6*(1+ENTRADAS!$C$27)^(18-1)</f>
        <v>22464.1288419485</v>
      </c>
      <c r="E23" s="113" t="n">
        <f aca="false">E22+D23</f>
        <v>249293.157521816</v>
      </c>
      <c r="F23" s="113" t="n">
        <f aca="false">E23-COMPARATIVO!C$34</f>
        <v>219494.457521816</v>
      </c>
      <c r="G23" s="113" t="n">
        <f aca="false">ECONOMIA!D$26*C23/$C$6*(1+ENTRADAS!$C$27)^(18-1)</f>
        <v>22077.4510942585</v>
      </c>
      <c r="H23" s="113" t="n">
        <f aca="false">H22+G23</f>
        <v>245002.044461377</v>
      </c>
      <c r="I23" s="113" t="n">
        <f aca="false">H23-COMPARATIVO!D$34</f>
        <v>216124.144461377</v>
      </c>
      <c r="J23" s="113" t="n">
        <f aca="false">ECONOMIA!E$26*C23/$C$6*(1+ENTRADAS!$C$27)^(18-1)</f>
        <v>18661.7976563301</v>
      </c>
      <c r="K23" s="113" t="n">
        <f aca="false">K22+J23</f>
        <v>207097.2124275</v>
      </c>
      <c r="L23" s="113" t="n">
        <f aca="false">K23-COMPARATIVO!E$34</f>
        <v>188576.8724275</v>
      </c>
      <c r="M23" s="113" t="n">
        <f aca="false">ECONOMIA!F$26*C23/$C$6*(1+ENTRADAS!$C$27)^(18-1)</f>
        <v>18661.7976563301</v>
      </c>
      <c r="N23" s="113" t="n">
        <f aca="false">N22+M23</f>
        <v>207097.2124275</v>
      </c>
      <c r="O23" s="113" t="n">
        <f aca="false">N23-COMPARATIVO!F$34</f>
        <v>187576.8724275</v>
      </c>
      <c r="P23" s="113" t="n">
        <f aca="false">ECONOMIA!G$26*C23/$C$6*(1+ENTRADAS!$C$27)^(18-1)</f>
        <v>15922.8302768591</v>
      </c>
      <c r="Q23" s="113" t="n">
        <f aca="false">Q22+P23</f>
        <v>176701.828249391</v>
      </c>
      <c r="R23" s="113" t="n">
        <f aca="false">Q23-COMPARATIVO!G$34</f>
        <v>155352.918249391</v>
      </c>
      <c r="S23" s="113" t="n">
        <f aca="false">ECONOMIA!H$26*C23/$C$6*(1+ENTRADAS!$C$27)^(18-1)</f>
        <v>13763.8795189232</v>
      </c>
      <c r="T23" s="113" t="n">
        <f aca="false">T22+S23</f>
        <v>152743.11366194</v>
      </c>
      <c r="U23" s="113" t="n">
        <f aca="false">T23-COMPARATIVO!H$34</f>
        <v>137855.47366194</v>
      </c>
      <c r="V23" s="113" t="n">
        <f aca="false">ECONOMIA!I$26*C23/$C$6*(1+ENTRADAS!$C$27)^(18-1)</f>
        <v>19628.4920255551</v>
      </c>
      <c r="W23" s="113" t="n">
        <f aca="false">W22+V23</f>
        <v>217824.995078597</v>
      </c>
      <c r="X23" s="113" t="n">
        <f aca="false">W23-COMPARATIVO!I$34</f>
        <v>196744.455078597</v>
      </c>
      <c r="Y23" s="113" t="n">
        <f aca="false">ECONOMIA!J$26*C23/$C$6*(1+ENTRADAS!$C$27)^(18-1)</f>
        <v>17695.103287105</v>
      </c>
      <c r="Z23" s="113" t="n">
        <f aca="false">Z22+Y23</f>
        <v>196369.429776403</v>
      </c>
      <c r="AA23" s="113" t="n">
        <f aca="false">Z23-COMPARATIVO!J$34</f>
        <v>175136.429776403</v>
      </c>
      <c r="AB23" s="113" t="n">
        <f aca="false">ECONOMIA!K$26*C23/$C$6*(1+ENTRADAS!$C$27)^(18-1)</f>
        <v>20659.6326860618</v>
      </c>
      <c r="AC23" s="113" t="n">
        <f aca="false">AC22+AB23</f>
        <v>229267.963239768</v>
      </c>
      <c r="AD23" s="113" t="n">
        <f aca="false">AC23-COMPARATIVO!K$34</f>
        <v>209877.963239768</v>
      </c>
      <c r="AE23" s="113" t="n">
        <f aca="false">ECONOMIA!L$26*C23/$C$6*(1+ENTRADAS!$C$27)^(18-1)</f>
        <v>14537.2350143032</v>
      </c>
      <c r="AF23" s="113" t="n">
        <f aca="false">AF22+AE23</f>
        <v>161325.339782818</v>
      </c>
      <c r="AG23" s="113" t="n">
        <f aca="false">AF23-COMPARATIVO!L$34</f>
        <v>141383.339782818</v>
      </c>
      <c r="AH23" s="113" t="n">
        <f aca="false">ECONOMIA!M$26*C23/$C$6*(1+ENTRADAS!$C$27)^(18-1)</f>
        <v>23190.1205218885</v>
      </c>
      <c r="AI23" s="113" t="n">
        <f aca="false">AI22+AH23</f>
        <v>257349.768997835</v>
      </c>
      <c r="AJ23" s="113" t="n">
        <f aca="false">AI23-COMPARATIVO!M$34</f>
        <v>234469.228997835</v>
      </c>
      <c r="AK23" s="113" t="n">
        <f aca="false">ECONOMIA!N$26*C23/$C$6*(1+ENTRADAS!$C$27)^(18-1)</f>
        <v>23253.1013880995</v>
      </c>
      <c r="AL23" s="113" t="n">
        <f aca="false">AL22+AK23</f>
        <v>258048.692117074</v>
      </c>
      <c r="AM23" s="113" t="n">
        <f aca="false">AL23-COMPARATIVO!N$34</f>
        <v>233368.152117074</v>
      </c>
    </row>
    <row r="24" customFormat="false" ht="15" hidden="false" customHeight="false" outlineLevel="0" collapsed="false">
      <c r="B24" s="112" t="n">
        <v>19</v>
      </c>
      <c r="C24" s="40" t="n">
        <f aca="false">(1-ENTRADAS!$C$33)*(1-ENTRADAS!$C$34)^(19-1)</f>
        <v>0.903584628511173</v>
      </c>
      <c r="D24" s="113" t="n">
        <f aca="false">ECONOMIA!C$26*C24/$C$6*(1+ENTRADAS!$C$27)^(19-1)</f>
        <v>23928.453080511</v>
      </c>
      <c r="E24" s="113" t="n">
        <f aca="false">E23+D24</f>
        <v>273221.610602327</v>
      </c>
      <c r="F24" s="113" t="n">
        <f aca="false">E24-COMPARATIVO!C$34</f>
        <v>243422.910602327</v>
      </c>
      <c r="G24" s="113" t="n">
        <f aca="false">ECONOMIA!D$26*C24/$C$6*(1+ENTRADAS!$C$27)^(19-1)</f>
        <v>23516.5697438378</v>
      </c>
      <c r="H24" s="113" t="n">
        <f aca="false">H23+G24</f>
        <v>268518.614205215</v>
      </c>
      <c r="I24" s="113" t="n">
        <f aca="false">H24-COMPARATIVO!D$34</f>
        <v>239640.714205215</v>
      </c>
      <c r="J24" s="113" t="n">
        <f aca="false">ECONOMIA!E$26*C24/$C$6*(1+ENTRADAS!$C$27)^(19-1)</f>
        <v>19878.2669365579</v>
      </c>
      <c r="K24" s="113" t="n">
        <f aca="false">K23+J24</f>
        <v>226975.479364058</v>
      </c>
      <c r="L24" s="113" t="n">
        <f aca="false">K24-COMPARATIVO!E$34</f>
        <v>208455.139364058</v>
      </c>
      <c r="M24" s="113" t="n">
        <f aca="false">ECONOMIA!F$26*C24/$C$6*(1+ENTRADAS!$C$27)^(19-1)</f>
        <v>19878.2669365579</v>
      </c>
      <c r="N24" s="113" t="n">
        <f aca="false">N23+M24</f>
        <v>226975.479364058</v>
      </c>
      <c r="O24" s="113" t="n">
        <f aca="false">N24-COMPARATIVO!F$34</f>
        <v>207455.139364058</v>
      </c>
      <c r="P24" s="113" t="n">
        <f aca="false">ECONOMIA!G$26*C24/$C$6*(1+ENTRADAS!$C$27)^(19-1)</f>
        <v>16960.7599684562</v>
      </c>
      <c r="Q24" s="113" t="n">
        <f aca="false">Q23+P24</f>
        <v>193662.588217847</v>
      </c>
      <c r="R24" s="113" t="n">
        <f aca="false">Q24-COMPARATIVO!G$34</f>
        <v>172313.678217847</v>
      </c>
      <c r="S24" s="113" t="n">
        <f aca="false">ECONOMIA!H$26*C24/$C$6*(1+ENTRADAS!$C$27)^(19-1)</f>
        <v>14661.0780053642</v>
      </c>
      <c r="T24" s="113" t="n">
        <f aca="false">T23+S24</f>
        <v>167404.191667305</v>
      </c>
      <c r="U24" s="113" t="n">
        <f aca="false">T24-COMPARATIVO!H$34</f>
        <v>152516.551667305</v>
      </c>
      <c r="V24" s="113" t="n">
        <f aca="false">ECONOMIA!I$26*C24/$C$6*(1+ENTRADAS!$C$27)^(19-1)</f>
        <v>20907.9752782409</v>
      </c>
      <c r="W24" s="113" t="n">
        <f aca="false">W23+V24</f>
        <v>238732.970356838</v>
      </c>
      <c r="X24" s="113" t="n">
        <f aca="false">W24-COMPARATIVO!I$34</f>
        <v>217652.430356838</v>
      </c>
      <c r="Y24" s="113" t="n">
        <f aca="false">ECONOMIA!J$26*C24/$C$6*(1+ENTRADAS!$C$27)^(19-1)</f>
        <v>18848.558594875</v>
      </c>
      <c r="Z24" s="113" t="n">
        <f aca="false">Z23+Y24</f>
        <v>215217.988371278</v>
      </c>
      <c r="AA24" s="113" t="n">
        <f aca="false">Z24-COMPARATIVO!J$34</f>
        <v>193984.988371278</v>
      </c>
      <c r="AB24" s="113" t="n">
        <f aca="false">ECONOMIA!K$26*C24/$C$6*(1+ENTRADAS!$C$27)^(19-1)</f>
        <v>22006.3308427027</v>
      </c>
      <c r="AC24" s="113" t="n">
        <f aca="false">AC23+AB24</f>
        <v>251274.29408247</v>
      </c>
      <c r="AD24" s="113" t="n">
        <f aca="false">AC24-COMPARATIVO!K$34</f>
        <v>231884.29408247</v>
      </c>
      <c r="AE24" s="113" t="n">
        <f aca="false">ECONOMIA!L$26*C24/$C$6*(1+ENTRADAS!$C$27)^(19-1)</f>
        <v>15484.8446787106</v>
      </c>
      <c r="AF24" s="113" t="n">
        <f aca="false">AF23+AE24</f>
        <v>176810.184461529</v>
      </c>
      <c r="AG24" s="113" t="n">
        <f aca="false">AF24-COMPARATIVO!L$34</f>
        <v>156868.184461529</v>
      </c>
      <c r="AH24" s="113" t="n">
        <f aca="false">ECONOMIA!M$26*C24/$C$6*(1+ENTRADAS!$C$27)^(19-1)</f>
        <v>24701.7685281078</v>
      </c>
      <c r="AI24" s="113" t="n">
        <f aca="false">AI23+AH24</f>
        <v>282051.537525942</v>
      </c>
      <c r="AJ24" s="113" t="n">
        <f aca="false">AI24-COMPARATIVO!M$34</f>
        <v>259170.997525942</v>
      </c>
      <c r="AK24" s="113" t="n">
        <f aca="false">ECONOMIA!N$26*C24/$C$6*(1+ENTRADAS!$C$27)^(19-1)</f>
        <v>24768.8548020828</v>
      </c>
      <c r="AL24" s="113" t="n">
        <f aca="false">AL23+AK24</f>
        <v>282817.546919156</v>
      </c>
      <c r="AM24" s="113" t="n">
        <f aca="false">AL24-COMPARATIVO!N$34</f>
        <v>258137.006919156</v>
      </c>
    </row>
    <row r="25" customFormat="false" ht="15" hidden="false" customHeight="false" outlineLevel="0" collapsed="false">
      <c r="B25" s="114" t="n">
        <v>20</v>
      </c>
      <c r="C25" s="115" t="n">
        <f aca="false">(1-ENTRADAS!$C$33)*(1-ENTRADAS!$C$34)^(20-1)</f>
        <v>0.899518497682873</v>
      </c>
      <c r="D25" s="116" t="n">
        <f aca="false">ECONOMIA!C$26*C25/$C$6*(1+ENTRADAS!$C$27)^(20-1)</f>
        <v>25488.2292945641</v>
      </c>
      <c r="E25" s="116" t="n">
        <f aca="false">E24+D25</f>
        <v>298709.839896891</v>
      </c>
      <c r="F25" s="116" t="n">
        <f aca="false">E25-COMPARATIVO!C$34</f>
        <v>268911.139896891</v>
      </c>
      <c r="G25" s="116" t="n">
        <f aca="false">ECONOMIA!D$26*C25/$C$6*(1+ENTRADAS!$C$27)^(20-1)</f>
        <v>25049.4973425898</v>
      </c>
      <c r="H25" s="116" t="n">
        <f aca="false">H24+G25</f>
        <v>293568.111547805</v>
      </c>
      <c r="I25" s="116" t="n">
        <f aca="false">H25-COMPARATIVO!D$34</f>
        <v>264690.211547805</v>
      </c>
      <c r="J25" s="116" t="n">
        <f aca="false">ECONOMIA!E$26*C25/$C$6*(1+ENTRADAS!$C$27)^(20-1)</f>
        <v>21174.0317668175</v>
      </c>
      <c r="K25" s="116" t="n">
        <f aca="false">K24+J25</f>
        <v>248149.511130875</v>
      </c>
      <c r="L25" s="116" t="n">
        <f aca="false">K25-COMPARATIVO!E$34</f>
        <v>229629.171130875</v>
      </c>
      <c r="M25" s="116" t="n">
        <f aca="false">ECONOMIA!F$26*C25/$C$6*(1+ENTRADAS!$C$27)^(20-1)</f>
        <v>21174.0317668175</v>
      </c>
      <c r="N25" s="116" t="n">
        <f aca="false">N24+M25</f>
        <v>248149.511130875</v>
      </c>
      <c r="O25" s="116" t="n">
        <f aca="false">N25-COMPARATIVO!F$34</f>
        <v>228629.171130875</v>
      </c>
      <c r="P25" s="116" t="n">
        <f aca="false">ECONOMIA!G$26*C25/$C$6*(1+ENTRADAS!$C$27)^(20-1)</f>
        <v>18066.347107</v>
      </c>
      <c r="Q25" s="116" t="n">
        <f aca="false">Q24+P25</f>
        <v>211728.935324847</v>
      </c>
      <c r="R25" s="116" t="n">
        <f aca="false">Q25-COMPARATIVO!G$34</f>
        <v>190380.025324847</v>
      </c>
      <c r="S25" s="116" t="n">
        <f aca="false">ECONOMIA!H$26*C25/$C$6*(1+ENTRADAS!$C$27)^(20-1)</f>
        <v>15616.7603751439</v>
      </c>
      <c r="T25" s="116" t="n">
        <f aca="false">T24+S25</f>
        <v>183020.952042449</v>
      </c>
      <c r="U25" s="116" t="n">
        <f aca="false">T25-COMPARATIVO!H$34</f>
        <v>168133.312042449</v>
      </c>
      <c r="V25" s="116" t="n">
        <f aca="false">ECONOMIA!I$26*C25/$C$6*(1+ENTRADAS!$C$27)^(20-1)</f>
        <v>22270.8616467531</v>
      </c>
      <c r="W25" s="116" t="n">
        <f aca="false">W24+V25</f>
        <v>261003.832003591</v>
      </c>
      <c r="X25" s="116" t="n">
        <f aca="false">W25-COMPARATIVO!I$34</f>
        <v>239923.292003591</v>
      </c>
      <c r="Y25" s="116" t="n">
        <f aca="false">ECONOMIA!J$26*C25/$C$6*(1+ENTRADAS!$C$27)^(20-1)</f>
        <v>20077.2018868819</v>
      </c>
      <c r="Z25" s="116" t="n">
        <f aca="false">Z24+Y25</f>
        <v>235295.19025816</v>
      </c>
      <c r="AA25" s="116" t="n">
        <f aca="false">Z25-COMPARATIVO!J$34</f>
        <v>214062.19025816</v>
      </c>
      <c r="AB25" s="116" t="n">
        <f aca="false">ECONOMIA!K$26*C25/$C$6*(1+ENTRADAS!$C$27)^(20-1)</f>
        <v>23440.8135186843</v>
      </c>
      <c r="AC25" s="116" t="n">
        <f aca="false">AC24+AB25</f>
        <v>274715.107601155</v>
      </c>
      <c r="AD25" s="116" t="n">
        <f aca="false">AC25-COMPARATIVO!K$34</f>
        <v>255325.107601155</v>
      </c>
      <c r="AE25" s="116" t="n">
        <f aca="false">ECONOMIA!L$26*C25/$C$6*(1+ENTRADAS!$C$27)^(20-1)</f>
        <v>16494.2242790924</v>
      </c>
      <c r="AF25" s="116" t="n">
        <f aca="false">AF24+AE25</f>
        <v>193304.408740621</v>
      </c>
      <c r="AG25" s="116" t="n">
        <f aca="false">AF25-COMPARATIVO!L$34</f>
        <v>173362.408740621</v>
      </c>
      <c r="AH25" s="116" t="n">
        <f aca="false">ECONOMIA!M$26*C25/$C$6*(1+ENTRADAS!$C$27)^(20-1)</f>
        <v>26311.9533096125</v>
      </c>
      <c r="AI25" s="116" t="n">
        <f aca="false">AI24+AH25</f>
        <v>308363.490835555</v>
      </c>
      <c r="AJ25" s="116" t="n">
        <f aca="false">AI25-COMPARATIVO!M$34</f>
        <v>285482.950835555</v>
      </c>
      <c r="AK25" s="116" t="n">
        <f aca="false">ECONOMIA!N$26*C25/$C$6*(1+ENTRADAS!$C$27)^(20-1)</f>
        <v>26383.4126023566</v>
      </c>
      <c r="AL25" s="116" t="n">
        <f aca="false">AL24+AK25</f>
        <v>309200.959521513</v>
      </c>
      <c r="AM25" s="116" t="n">
        <f aca="false">AL25-COMPARATIVO!N$34</f>
        <v>284520.419521513</v>
      </c>
    </row>
    <row r="27" customFormat="false" ht="15" hidden="false" customHeight="false" outlineLevel="0" collapsed="false">
      <c r="B27" s="2" t="s">
        <v>1034</v>
      </c>
    </row>
    <row r="28" customFormat="false" ht="15" hidden="false" customHeight="false" outlineLevel="0" collapsed="false">
      <c r="B28" s="2" t="s">
        <v>1035</v>
      </c>
    </row>
    <row r="29" customFormat="false" ht="15" hidden="false" customHeight="false" outlineLevel="0" collapsed="false">
      <c r="B29" s="2" t="s">
        <v>1036</v>
      </c>
    </row>
    <row r="30" customFormat="false" ht="15" hidden="false" customHeight="false" outlineLevel="0" collapsed="false">
      <c r="B30" s="5" t="s">
        <v>1037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1038</v>
      </c>
    </row>
    <row r="2" customFormat="false" ht="15" hidden="false" customHeight="false" outlineLevel="0" collapsed="false">
      <c r="A2" s="2" t="s">
        <v>1039</v>
      </c>
    </row>
    <row r="4" customFormat="false" ht="15" hidden="false" customHeight="false" outlineLevel="0" collapsed="false">
      <c r="B4" s="21" t="s">
        <v>1040</v>
      </c>
      <c r="C4" s="16" t="n">
        <v>6.2</v>
      </c>
      <c r="D4" s="2" t="s">
        <v>1041</v>
      </c>
    </row>
    <row r="6" customFormat="false" ht="23.85" hidden="false" customHeight="false" outlineLevel="0" collapsed="false">
      <c r="B6" s="17" t="s">
        <v>278</v>
      </c>
      <c r="C6" s="17" t="s">
        <v>1042</v>
      </c>
      <c r="D6" s="17" t="s">
        <v>1043</v>
      </c>
      <c r="E6" s="17" t="s">
        <v>1044</v>
      </c>
      <c r="F6" s="17" t="s">
        <v>1045</v>
      </c>
      <c r="G6" s="17" t="s">
        <v>1046</v>
      </c>
      <c r="H6" s="17" t="s">
        <v>1047</v>
      </c>
      <c r="I6" s="17" t="s">
        <v>1048</v>
      </c>
    </row>
    <row r="7" customFormat="false" ht="15" hidden="false" customHeight="false" outlineLevel="0" collapsed="false">
      <c r="B7" s="18" t="s">
        <v>280</v>
      </c>
      <c r="C7" s="32" t="n">
        <f aca="false">CONTA!C38</f>
        <v>372</v>
      </c>
      <c r="D7" s="32" t="n">
        <f aca="false">BYD!$C$13</f>
        <v>386.976744186047</v>
      </c>
      <c r="E7" s="39" t="n">
        <f aca="false">C7+D7</f>
        <v>758.976744186047</v>
      </c>
      <c r="F7" s="39" t="n">
        <f aca="false">$C$4*GERACAO!I5</f>
        <v>780.599158</v>
      </c>
      <c r="G7" s="39" t="n">
        <f aca="false">F7-E7</f>
        <v>21.6224138139536</v>
      </c>
      <c r="H7" s="39" t="n">
        <f aca="false">MAX(0,G7)</f>
        <v>21.6224138139536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281</v>
      </c>
      <c r="C8" s="32" t="n">
        <f aca="false">CONTA!C39</f>
        <v>348</v>
      </c>
      <c r="D8" s="32" t="n">
        <f aca="false">BYD!$C$13</f>
        <v>386.976744186047</v>
      </c>
      <c r="E8" s="39" t="n">
        <f aca="false">C8+D8</f>
        <v>734.976744186047</v>
      </c>
      <c r="F8" s="39" t="n">
        <f aca="false">$C$4*GERACAO!I6</f>
        <v>710.954496</v>
      </c>
      <c r="G8" s="39" t="n">
        <f aca="false">F8-E8</f>
        <v>-24.0222481860465</v>
      </c>
      <c r="H8" s="39" t="n">
        <f aca="false">MAX(0,H7+G8)</f>
        <v>0</v>
      </c>
      <c r="I8" s="18" t="str">
        <f aca="false">IF(G8&gt;=0,"Sobra - acumula credito","Falta - usa credito ou compra da rede")</f>
        <v>Falta - usa credito ou compra da rede</v>
      </c>
    </row>
    <row r="9" customFormat="false" ht="15" hidden="false" customHeight="false" outlineLevel="0" collapsed="false">
      <c r="B9" s="18" t="s">
        <v>282</v>
      </c>
      <c r="C9" s="32" t="n">
        <f aca="false">CONTA!C40</f>
        <v>354</v>
      </c>
      <c r="D9" s="32" t="n">
        <f aca="false">BYD!$C$13</f>
        <v>386.976744186047</v>
      </c>
      <c r="E9" s="39" t="n">
        <f aca="false">C9+D9</f>
        <v>740.976744186047</v>
      </c>
      <c r="F9" s="39" t="n">
        <f aca="false">$C$4*GERACAO!I7</f>
        <v>706.80589</v>
      </c>
      <c r="G9" s="39" t="n">
        <f aca="false">F9-E9</f>
        <v>-34.1708541860464</v>
      </c>
      <c r="H9" s="39" t="n">
        <f aca="false">MAX(0,H8+G9)</f>
        <v>0</v>
      </c>
      <c r="I9" s="18" t="str">
        <f aca="false">IF(G9&gt;=0,"Sobra - acumula credito","Falta - usa credito ou compra da rede")</f>
        <v>Falta - usa credito ou compra da rede</v>
      </c>
    </row>
    <row r="10" customFormat="false" ht="15" hidden="false" customHeight="false" outlineLevel="0" collapsed="false">
      <c r="B10" s="18" t="s">
        <v>283</v>
      </c>
      <c r="C10" s="32" t="n">
        <f aca="false">CONTA!C41</f>
        <v>394</v>
      </c>
      <c r="D10" s="32" t="n">
        <f aca="false">BYD!$C$13</f>
        <v>386.976744186047</v>
      </c>
      <c r="E10" s="39" t="n">
        <f aca="false">C10+D10</f>
        <v>780.976744186047</v>
      </c>
      <c r="F10" s="39" t="n">
        <f aca="false">$C$4*GERACAO!I8</f>
        <v>607.74384</v>
      </c>
      <c r="G10" s="39" t="n">
        <f aca="false">F10-E10</f>
        <v>-173.232904186046</v>
      </c>
      <c r="H10" s="39" t="n">
        <f aca="false">MAX(0,H9+G10)</f>
        <v>0</v>
      </c>
      <c r="I10" s="18" t="str">
        <f aca="false">IF(G10&gt;=0,"Sobra - acumula credito","Falta - usa credito ou compra da rede")</f>
        <v>Falta - usa credito ou compra da rede</v>
      </c>
    </row>
    <row r="11" customFormat="false" ht="15" hidden="false" customHeight="false" outlineLevel="0" collapsed="false">
      <c r="B11" s="18" t="s">
        <v>284</v>
      </c>
      <c r="C11" s="32" t="n">
        <f aca="false">CONTA!C42</f>
        <v>457</v>
      </c>
      <c r="D11" s="32" t="n">
        <f aca="false">BYD!$C$13</f>
        <v>386.976744186047</v>
      </c>
      <c r="E11" s="39" t="n">
        <f aca="false">C11+D11</f>
        <v>843.976744186047</v>
      </c>
      <c r="F11" s="39" t="n">
        <f aca="false">$C$4*GERACAO!I9</f>
        <v>516.856552</v>
      </c>
      <c r="G11" s="39" t="n">
        <f aca="false">F11-E11</f>
        <v>-327.120192186046</v>
      </c>
      <c r="H11" s="39" t="n">
        <f aca="false">MAX(0,H10+G11)</f>
        <v>0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285</v>
      </c>
      <c r="C12" s="32" t="n">
        <f aca="false">CONTA!C43</f>
        <v>422</v>
      </c>
      <c r="D12" s="32" t="n">
        <f aca="false">BYD!$C$13</f>
        <v>386.976744186047</v>
      </c>
      <c r="E12" s="39" t="n">
        <f aca="false">C12+D12</f>
        <v>808.976744186047</v>
      </c>
      <c r="F12" s="39" t="n">
        <f aca="false">$C$4*GERACAO!I10</f>
        <v>468.0039</v>
      </c>
      <c r="G12" s="39" t="n">
        <f aca="false">F12-E12</f>
        <v>-340.972844186047</v>
      </c>
      <c r="H12" s="39" t="n">
        <f aca="false">MAX(0,H11+G12)</f>
        <v>0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286</v>
      </c>
      <c r="C13" s="32" t="n">
        <f aca="false">CONTA!C44</f>
        <v>540</v>
      </c>
      <c r="D13" s="32" t="n">
        <f aca="false">BYD!$C$13</f>
        <v>386.976744186047</v>
      </c>
      <c r="E13" s="39" t="n">
        <f aca="false">C13+D13</f>
        <v>926.976744186047</v>
      </c>
      <c r="F13" s="39" t="n">
        <f aca="false">$C$4*GERACAO!I11</f>
        <v>504.329917</v>
      </c>
      <c r="G13" s="39" t="n">
        <f aca="false">F13-E13</f>
        <v>-422.646827186047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287</v>
      </c>
      <c r="C14" s="32" t="n">
        <f aca="false">CONTA!C45</f>
        <v>364</v>
      </c>
      <c r="D14" s="32" t="n">
        <f aca="false">BYD!$C$13</f>
        <v>386.976744186047</v>
      </c>
      <c r="E14" s="39" t="n">
        <f aca="false">C14+D14</f>
        <v>750.976744186047</v>
      </c>
      <c r="F14" s="39" t="n">
        <f aca="false">$C$4*GERACAO!I12</f>
        <v>642.502497</v>
      </c>
      <c r="G14" s="39" t="n">
        <f aca="false">F14-E14</f>
        <v>-108.474247186046</v>
      </c>
      <c r="H14" s="39" t="n">
        <f aca="false">MAX(0,H13+G14)</f>
        <v>0</v>
      </c>
      <c r="I14" s="18" t="str">
        <f aca="false">IF(G14&gt;=0,"Sobra - acumula credito","Falta - usa credito ou compra da rede")</f>
        <v>Falta - usa credito ou compra da rede</v>
      </c>
    </row>
    <row r="15" customFormat="false" ht="15" hidden="false" customHeight="false" outlineLevel="0" collapsed="false">
      <c r="B15" s="18" t="s">
        <v>288</v>
      </c>
      <c r="C15" s="32" t="n">
        <f aca="false">CONTA!C46</f>
        <v>290</v>
      </c>
      <c r="D15" s="32" t="n">
        <f aca="false">BYD!$C$13</f>
        <v>386.976744186047</v>
      </c>
      <c r="E15" s="39" t="n">
        <f aca="false">C15+D15</f>
        <v>676.976744186047</v>
      </c>
      <c r="F15" s="39" t="n">
        <f aca="false">$C$4*GERACAO!I13</f>
        <v>621.18885</v>
      </c>
      <c r="G15" s="39" t="n">
        <f aca="false">F15-E15</f>
        <v>-55.7878941860464</v>
      </c>
      <c r="H15" s="39" t="n">
        <f aca="false">MAX(0,H14+G15)</f>
        <v>0</v>
      </c>
      <c r="I15" s="18" t="str">
        <f aca="false">IF(G15&gt;=0,"Sobra - acumula credito","Falta - usa credito ou compra da rede")</f>
        <v>Falta - usa credito ou compra da rede</v>
      </c>
    </row>
    <row r="16" customFormat="false" ht="15" hidden="false" customHeight="false" outlineLevel="0" collapsed="false">
      <c r="B16" s="18" t="s">
        <v>289</v>
      </c>
      <c r="C16" s="32" t="n">
        <f aca="false">CONTA!C47</f>
        <v>375</v>
      </c>
      <c r="D16" s="32" t="n">
        <f aca="false">BYD!$C$13</f>
        <v>386.976744186047</v>
      </c>
      <c r="E16" s="39" t="n">
        <f aca="false">C16+D16</f>
        <v>761.976744186047</v>
      </c>
      <c r="F16" s="39" t="n">
        <f aca="false">$C$4*GERACAO!I14</f>
        <v>714.245952</v>
      </c>
      <c r="G16" s="39" t="n">
        <f aca="false">F16-E16</f>
        <v>-47.7307921860465</v>
      </c>
      <c r="H16" s="39" t="n">
        <f aca="false">MAX(0,H15+G16)</f>
        <v>0</v>
      </c>
      <c r="I16" s="18" t="str">
        <f aca="false">IF(G16&gt;=0,"Sobra - acumula credito","Falta - usa credito ou compra da rede")</f>
        <v>Falta - usa credito ou compra da rede</v>
      </c>
    </row>
    <row r="17" customFormat="false" ht="15" hidden="false" customHeight="false" outlineLevel="0" collapsed="false">
      <c r="B17" s="18" t="s">
        <v>290</v>
      </c>
      <c r="C17" s="32" t="n">
        <f aca="false">CONTA!C48</f>
        <v>337</v>
      </c>
      <c r="D17" s="32" t="n">
        <f aca="false">BYD!$C$13</f>
        <v>386.976744186047</v>
      </c>
      <c r="E17" s="39" t="n">
        <f aca="false">C17+D17</f>
        <v>723.976744186047</v>
      </c>
      <c r="F17" s="39" t="n">
        <f aca="false">$C$4*GERACAO!I15</f>
        <v>762.54513</v>
      </c>
      <c r="G17" s="39" t="n">
        <f aca="false">F17-E17</f>
        <v>38.5683858139536</v>
      </c>
      <c r="H17" s="39" t="n">
        <f aca="false">MAX(0,H16+G17)</f>
        <v>38.5683858139536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291</v>
      </c>
      <c r="C18" s="32" t="n">
        <f aca="false">CONTA!C49</f>
        <v>323</v>
      </c>
      <c r="D18" s="32" t="n">
        <f aca="false">BYD!$C$13</f>
        <v>386.976744186047</v>
      </c>
      <c r="E18" s="39" t="n">
        <f aca="false">C18+D18</f>
        <v>709.976744186047</v>
      </c>
      <c r="F18" s="39" t="n">
        <f aca="false">$C$4*GERACAO!I16</f>
        <v>802.691587</v>
      </c>
      <c r="G18" s="39" t="n">
        <f aca="false">F18-E18</f>
        <v>92.7148428139537</v>
      </c>
      <c r="H18" s="39" t="n">
        <f aca="false">MAX(0,H17+G18)</f>
        <v>131.283228627907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364</v>
      </c>
      <c r="C19" s="34" t="n">
        <f aca="false">SUM(C7:C18)</f>
        <v>4576</v>
      </c>
      <c r="D19" s="34" t="n">
        <f aca="false">SUM(D7:D18)</f>
        <v>4643.72093023256</v>
      </c>
      <c r="E19" s="34" t="n">
        <f aca="false">SUM(E7:E18)</f>
        <v>9219.72093023256</v>
      </c>
      <c r="F19" s="34" t="n">
        <f aca="false">SUM(F7:F18)</f>
        <v>7838.467769</v>
      </c>
      <c r="G19" s="34" t="n">
        <f aca="false">SUM(G7:G18)</f>
        <v>-1381.25316123256</v>
      </c>
    </row>
    <row r="21" customFormat="false" ht="15" hidden="false" customHeight="false" outlineLevel="0" collapsed="false">
      <c r="B21" s="3" t="s">
        <v>1049</v>
      </c>
    </row>
    <row r="22" customFormat="false" ht="15" hidden="false" customHeight="false" outlineLevel="0" collapsed="false">
      <c r="B22" s="2" t="s">
        <v>1050</v>
      </c>
    </row>
    <row r="23" customFormat="false" ht="15" hidden="false" customHeight="false" outlineLevel="0" collapsed="false">
      <c r="B23" s="2" t="s">
        <v>1051</v>
      </c>
    </row>
    <row r="24" customFormat="false" ht="15" hidden="false" customHeight="false" outlineLevel="0" collapsed="false">
      <c r="B24" s="2" t="s">
        <v>1052</v>
      </c>
    </row>
    <row r="25" customFormat="false" ht="15" hidden="false" customHeight="false" outlineLevel="0" collapsed="false">
      <c r="B25" s="2" t="s">
        <v>1053</v>
      </c>
    </row>
    <row r="26" customFormat="false" ht="15" hidden="false" customHeight="false" outlineLevel="0" collapsed="false">
      <c r="B26" s="2" t="s">
        <v>1054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1055</v>
      </c>
    </row>
    <row r="29" customFormat="false" ht="15" hidden="false" customHeight="false" outlineLevel="0" collapsed="false">
      <c r="B29" s="2" t="s">
        <v>1056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1057</v>
      </c>
    </row>
    <row r="2" customFormat="false" ht="15" hidden="false" customHeight="false" outlineLevel="0" collapsed="false">
      <c r="A2" s="2" t="s">
        <v>1058</v>
      </c>
    </row>
    <row r="4" customFormat="false" ht="15" hidden="false" customHeight="false" outlineLevel="0" collapsed="false">
      <c r="B4" s="17" t="s">
        <v>1059</v>
      </c>
      <c r="C4" s="17" t="s">
        <v>1060</v>
      </c>
      <c r="D4" s="17" t="s">
        <v>1061</v>
      </c>
      <c r="E4" s="17" t="s">
        <v>1062</v>
      </c>
    </row>
    <row r="5" customFormat="false" ht="15" hidden="false" customHeight="false" outlineLevel="0" collapsed="false">
      <c r="B5" s="8"/>
      <c r="C5" s="7" t="s">
        <v>1063</v>
      </c>
      <c r="D5" s="8"/>
      <c r="E5" s="8"/>
    </row>
    <row r="6" customFormat="false" ht="22.35" hidden="false" customHeight="false" outlineLevel="0" collapsed="false">
      <c r="B6" s="4" t="n">
        <v>1</v>
      </c>
      <c r="C6" s="117" t="s">
        <v>1064</v>
      </c>
      <c r="D6" s="9" t="s">
        <v>1065</v>
      </c>
      <c r="E6" s="118"/>
    </row>
    <row r="7" customFormat="false" ht="22.35" hidden="false" customHeight="false" outlineLevel="0" collapsed="false">
      <c r="B7" s="4" t="n">
        <v>2</v>
      </c>
      <c r="C7" s="117" t="s">
        <v>1066</v>
      </c>
      <c r="D7" s="9" t="s">
        <v>1065</v>
      </c>
      <c r="E7" s="118"/>
    </row>
    <row r="8" customFormat="false" ht="22.35" hidden="false" customHeight="false" outlineLevel="0" collapsed="false">
      <c r="B8" s="4" t="n">
        <v>3</v>
      </c>
      <c r="C8" s="117" t="s">
        <v>1067</v>
      </c>
      <c r="D8" s="9" t="s">
        <v>1065</v>
      </c>
      <c r="E8" s="118"/>
    </row>
    <row r="9" customFormat="false" ht="22.35" hidden="false" customHeight="false" outlineLevel="0" collapsed="false">
      <c r="B9" s="4" t="n">
        <v>4</v>
      </c>
      <c r="C9" s="117" t="s">
        <v>1068</v>
      </c>
      <c r="D9" s="9" t="s">
        <v>1065</v>
      </c>
      <c r="E9" s="118"/>
    </row>
    <row r="10" customFormat="false" ht="15" hidden="false" customHeight="false" outlineLevel="0" collapsed="false">
      <c r="B10" s="8"/>
      <c r="C10" s="7" t="s">
        <v>1069</v>
      </c>
      <c r="D10" s="8"/>
      <c r="E10" s="8"/>
    </row>
    <row r="11" customFormat="false" ht="35.05" hidden="false" customHeight="false" outlineLevel="0" collapsed="false">
      <c r="B11" s="4" t="n">
        <v>5</v>
      </c>
      <c r="C11" s="119" t="s">
        <v>1070</v>
      </c>
      <c r="D11" s="9" t="s">
        <v>1065</v>
      </c>
      <c r="E11" s="118"/>
    </row>
    <row r="12" customFormat="false" ht="43.25" hidden="false" customHeight="false" outlineLevel="0" collapsed="false">
      <c r="B12" s="4" t="n">
        <v>6</v>
      </c>
      <c r="C12" s="117" t="s">
        <v>1071</v>
      </c>
      <c r="D12" s="9" t="s">
        <v>1065</v>
      </c>
      <c r="E12" s="118"/>
    </row>
    <row r="13" customFormat="false" ht="32.8" hidden="false" customHeight="false" outlineLevel="0" collapsed="false">
      <c r="B13" s="4" t="n">
        <v>7</v>
      </c>
      <c r="C13" s="117" t="s">
        <v>1072</v>
      </c>
      <c r="D13" s="9" t="s">
        <v>1065</v>
      </c>
      <c r="E13" s="118"/>
    </row>
    <row r="14" customFormat="false" ht="22.35" hidden="false" customHeight="false" outlineLevel="0" collapsed="false">
      <c r="B14" s="4" t="n">
        <v>8</v>
      </c>
      <c r="C14" s="117" t="s">
        <v>1073</v>
      </c>
      <c r="D14" s="9" t="s">
        <v>1065</v>
      </c>
      <c r="E14" s="118"/>
    </row>
    <row r="15" customFormat="false" ht="22.35" hidden="false" customHeight="false" outlineLevel="0" collapsed="false">
      <c r="B15" s="4" t="n">
        <v>9</v>
      </c>
      <c r="C15" s="117" t="s">
        <v>1074</v>
      </c>
      <c r="D15" s="9" t="s">
        <v>1065</v>
      </c>
      <c r="E15" s="118"/>
    </row>
    <row r="16" customFormat="false" ht="32.8" hidden="false" customHeight="false" outlineLevel="0" collapsed="false">
      <c r="B16" s="4" t="n">
        <v>10</v>
      </c>
      <c r="C16" s="117" t="s">
        <v>1075</v>
      </c>
      <c r="D16" s="9" t="s">
        <v>1065</v>
      </c>
      <c r="E16" s="118"/>
    </row>
    <row r="17" customFormat="false" ht="32.8" hidden="false" customHeight="false" outlineLevel="0" collapsed="false">
      <c r="B17" s="4" t="n">
        <v>11</v>
      </c>
      <c r="C17" s="117" t="s">
        <v>1076</v>
      </c>
      <c r="D17" s="9" t="s">
        <v>1065</v>
      </c>
      <c r="E17" s="118"/>
    </row>
    <row r="19" customFormat="false" ht="32.8" hidden="false" customHeight="false" outlineLevel="0" collapsed="false">
      <c r="B19" s="4" t="n">
        <v>12</v>
      </c>
      <c r="C19" s="117" t="s">
        <v>1077</v>
      </c>
      <c r="D19" s="9" t="s">
        <v>1065</v>
      </c>
      <c r="E19" s="118"/>
    </row>
    <row r="20" customFormat="false" ht="22.35" hidden="false" customHeight="false" outlineLevel="0" collapsed="false">
      <c r="B20" s="4" t="n">
        <v>13</v>
      </c>
      <c r="C20" s="117" t="s">
        <v>1078</v>
      </c>
      <c r="D20" s="9" t="s">
        <v>1065</v>
      </c>
      <c r="E20" s="118"/>
    </row>
    <row r="21" customFormat="false" ht="22.35" hidden="false" customHeight="false" outlineLevel="0" collapsed="false">
      <c r="B21" s="4" t="n">
        <v>14</v>
      </c>
      <c r="C21" s="117" t="s">
        <v>1079</v>
      </c>
      <c r="D21" s="9" t="s">
        <v>1065</v>
      </c>
      <c r="E21" s="118"/>
    </row>
    <row r="22" customFormat="false" ht="15" hidden="false" customHeight="false" outlineLevel="0" collapsed="false">
      <c r="B22" s="4" t="n">
        <v>15</v>
      </c>
      <c r="C22" s="117" t="s">
        <v>1080</v>
      </c>
      <c r="D22" s="9" t="s">
        <v>1065</v>
      </c>
      <c r="E22" s="118"/>
    </row>
    <row r="23" customFormat="false" ht="15" hidden="false" customHeight="false" outlineLevel="0" collapsed="false">
      <c r="B23" s="4" t="n">
        <v>16</v>
      </c>
      <c r="C23" s="117" t="s">
        <v>1081</v>
      </c>
      <c r="D23" s="9" t="s">
        <v>1065</v>
      </c>
      <c r="E23" s="118"/>
    </row>
    <row r="24" customFormat="false" ht="22.35" hidden="false" customHeight="false" outlineLevel="0" collapsed="false">
      <c r="B24" s="4" t="n">
        <v>17</v>
      </c>
      <c r="C24" s="117" t="s">
        <v>1082</v>
      </c>
      <c r="D24" s="9" t="s">
        <v>1065</v>
      </c>
      <c r="E24" s="118"/>
    </row>
    <row r="25" customFormat="false" ht="22.35" hidden="false" customHeight="false" outlineLevel="0" collapsed="false">
      <c r="B25" s="4" t="n">
        <v>18</v>
      </c>
      <c r="C25" s="117" t="s">
        <v>1083</v>
      </c>
      <c r="D25" s="9" t="s">
        <v>1065</v>
      </c>
      <c r="E25" s="118"/>
    </row>
    <row r="26" customFormat="false" ht="15" hidden="false" customHeight="false" outlineLevel="0" collapsed="false">
      <c r="B26" s="8"/>
      <c r="C26" s="7" t="s">
        <v>1084</v>
      </c>
      <c r="D26" s="8"/>
      <c r="E26" s="8"/>
    </row>
    <row r="27" customFormat="false" ht="23.85" hidden="false" customHeight="false" outlineLevel="0" collapsed="false">
      <c r="B27" s="4" t="n">
        <v>19</v>
      </c>
      <c r="C27" s="119" t="s">
        <v>1085</v>
      </c>
      <c r="D27" s="9" t="s">
        <v>1065</v>
      </c>
      <c r="E27" s="118"/>
    </row>
    <row r="28" customFormat="false" ht="46.25" hidden="false" customHeight="false" outlineLevel="0" collapsed="false">
      <c r="B28" s="4" t="n">
        <v>20</v>
      </c>
      <c r="C28" s="119" t="s">
        <v>1086</v>
      </c>
      <c r="D28" s="9" t="s">
        <v>1065</v>
      </c>
      <c r="E28" s="118"/>
    </row>
    <row r="29" customFormat="false" ht="23.85" hidden="false" customHeight="false" outlineLevel="0" collapsed="false">
      <c r="B29" s="4" t="n">
        <v>21</v>
      </c>
      <c r="C29" s="119" t="s">
        <v>1087</v>
      </c>
      <c r="D29" s="9" t="s">
        <v>1065</v>
      </c>
      <c r="E29" s="118"/>
    </row>
    <row r="30" customFormat="false" ht="32.8" hidden="false" customHeight="false" outlineLevel="0" collapsed="false">
      <c r="B30" s="4" t="n">
        <v>22</v>
      </c>
      <c r="C30" s="117" t="s">
        <v>1088</v>
      </c>
      <c r="D30" s="9" t="s">
        <v>1065</v>
      </c>
      <c r="E30" s="118"/>
    </row>
    <row r="31" customFormat="false" ht="22.35" hidden="false" customHeight="false" outlineLevel="0" collapsed="false">
      <c r="B31" s="4" t="n">
        <v>23</v>
      </c>
      <c r="C31" s="117" t="s">
        <v>1089</v>
      </c>
      <c r="D31" s="9" t="s">
        <v>1065</v>
      </c>
      <c r="E31" s="118"/>
    </row>
    <row r="32" customFormat="false" ht="23.85" hidden="false" customHeight="false" outlineLevel="0" collapsed="false">
      <c r="B32" s="4" t="n">
        <v>24</v>
      </c>
      <c r="C32" s="119" t="s">
        <v>1090</v>
      </c>
      <c r="D32" s="9" t="s">
        <v>1065</v>
      </c>
      <c r="E32" s="118"/>
    </row>
    <row r="33" customFormat="false" ht="35.05" hidden="false" customHeight="false" outlineLevel="0" collapsed="false">
      <c r="B33" s="4" t="n">
        <v>25</v>
      </c>
      <c r="C33" s="119" t="s">
        <v>1091</v>
      </c>
      <c r="D33" s="9" t="s">
        <v>1065</v>
      </c>
      <c r="E33" s="118"/>
    </row>
    <row r="34" customFormat="false" ht="35.05" hidden="false" customHeight="false" outlineLevel="0" collapsed="false">
      <c r="B34" s="4" t="n">
        <v>26</v>
      </c>
      <c r="C34" s="119" t="s">
        <v>1092</v>
      </c>
      <c r="D34" s="9" t="s">
        <v>1065</v>
      </c>
      <c r="E34" s="118"/>
    </row>
    <row r="35" customFormat="false" ht="22.35" hidden="false" customHeight="false" outlineLevel="0" collapsed="false">
      <c r="B35" s="4" t="n">
        <v>27</v>
      </c>
      <c r="C35" s="117" t="s">
        <v>1093</v>
      </c>
      <c r="D35" s="9" t="s">
        <v>1065</v>
      </c>
      <c r="E35" s="118"/>
    </row>
    <row r="36" customFormat="false" ht="32.8" hidden="false" customHeight="false" outlineLevel="0" collapsed="false">
      <c r="B36" s="4" t="n">
        <v>28</v>
      </c>
      <c r="C36" s="117" t="s">
        <v>1094</v>
      </c>
      <c r="D36" s="9" t="s">
        <v>1065</v>
      </c>
      <c r="E36" s="118"/>
    </row>
    <row r="37" customFormat="false" ht="22.35" hidden="false" customHeight="false" outlineLevel="0" collapsed="false">
      <c r="B37" s="4" t="n">
        <v>29</v>
      </c>
      <c r="C37" s="117" t="s">
        <v>1095</v>
      </c>
      <c r="D37" s="9" t="s">
        <v>1065</v>
      </c>
      <c r="E37" s="118"/>
    </row>
    <row r="38" customFormat="false" ht="32.8" hidden="false" customHeight="false" outlineLevel="0" collapsed="false">
      <c r="B38" s="4" t="n">
        <v>30</v>
      </c>
      <c r="C38" s="117" t="s">
        <v>1096</v>
      </c>
      <c r="D38" s="9" t="s">
        <v>1065</v>
      </c>
      <c r="E38" s="118"/>
    </row>
    <row r="39" customFormat="false" ht="22.35" hidden="false" customHeight="false" outlineLevel="0" collapsed="false">
      <c r="B39" s="4" t="n">
        <v>31</v>
      </c>
      <c r="C39" s="117" t="s">
        <v>1097</v>
      </c>
      <c r="D39" s="9" t="s">
        <v>1065</v>
      </c>
      <c r="E39" s="118"/>
    </row>
    <row r="40" customFormat="false" ht="22.35" hidden="false" customHeight="false" outlineLevel="0" collapsed="false">
      <c r="B40" s="4" t="n">
        <v>32</v>
      </c>
      <c r="C40" s="117" t="s">
        <v>1098</v>
      </c>
      <c r="D40" s="9" t="s">
        <v>1065</v>
      </c>
      <c r="E40" s="118"/>
    </row>
    <row r="41" customFormat="false" ht="35.05" hidden="false" customHeight="false" outlineLevel="0" collapsed="false">
      <c r="B41" s="4" t="n">
        <v>33</v>
      </c>
      <c r="C41" s="119" t="s">
        <v>1099</v>
      </c>
      <c r="D41" s="9" t="s">
        <v>1065</v>
      </c>
      <c r="E41" s="118"/>
    </row>
    <row r="43" customFormat="false" ht="15" hidden="false" customHeight="false" outlineLevel="0" collapsed="false">
      <c r="B43" s="8"/>
      <c r="C43" s="7" t="s">
        <v>1100</v>
      </c>
      <c r="D43" s="8"/>
      <c r="E43" s="8"/>
    </row>
    <row r="44" customFormat="false" ht="22.35" hidden="false" customHeight="false" outlineLevel="0" collapsed="false">
      <c r="B44" s="4" t="n">
        <v>34</v>
      </c>
      <c r="C44" s="117" t="s">
        <v>1101</v>
      </c>
      <c r="D44" s="9" t="s">
        <v>1065</v>
      </c>
      <c r="E44" s="118"/>
    </row>
    <row r="45" customFormat="false" ht="22.35" hidden="false" customHeight="false" outlineLevel="0" collapsed="false">
      <c r="B45" s="4" t="n">
        <v>35</v>
      </c>
      <c r="C45" s="117" t="s">
        <v>1102</v>
      </c>
      <c r="D45" s="9" t="s">
        <v>1065</v>
      </c>
      <c r="E45" s="118"/>
    </row>
    <row r="46" customFormat="false" ht="22.35" hidden="false" customHeight="false" outlineLevel="0" collapsed="false">
      <c r="B46" s="4" t="n">
        <v>36</v>
      </c>
      <c r="C46" s="117" t="s">
        <v>1103</v>
      </c>
      <c r="D46" s="9" t="s">
        <v>1065</v>
      </c>
      <c r="E46" s="118"/>
    </row>
    <row r="47" customFormat="false" ht="22.35" hidden="false" customHeight="false" outlineLevel="0" collapsed="false">
      <c r="B47" s="4" t="n">
        <v>37</v>
      </c>
      <c r="C47" s="117" t="s">
        <v>1104</v>
      </c>
      <c r="D47" s="9" t="s">
        <v>1065</v>
      </c>
      <c r="E47" s="118"/>
    </row>
    <row r="48" customFormat="false" ht="35.05" hidden="false" customHeight="false" outlineLevel="0" collapsed="false">
      <c r="B48" s="4" t="n">
        <v>38</v>
      </c>
      <c r="C48" s="119" t="s">
        <v>1105</v>
      </c>
      <c r="D48" s="9" t="s">
        <v>1065</v>
      </c>
      <c r="E48" s="118"/>
    </row>
    <row r="50" customFormat="false" ht="15" hidden="false" customHeight="false" outlineLevel="0" collapsed="false">
      <c r="B50" s="8"/>
      <c r="C50" s="7" t="s">
        <v>1106</v>
      </c>
      <c r="D50" s="8"/>
      <c r="E50" s="8"/>
    </row>
    <row r="51" customFormat="false" ht="35.05" hidden="false" customHeight="false" outlineLevel="0" collapsed="false">
      <c r="B51" s="4" t="n">
        <v>39</v>
      </c>
      <c r="C51" s="119" t="s">
        <v>1107</v>
      </c>
      <c r="D51" s="9" t="s">
        <v>1065</v>
      </c>
      <c r="E51" s="118"/>
    </row>
    <row r="52" customFormat="false" ht="22.35" hidden="false" customHeight="false" outlineLevel="0" collapsed="false">
      <c r="B52" s="4" t="n">
        <v>40</v>
      </c>
      <c r="C52" s="117" t="s">
        <v>1108</v>
      </c>
      <c r="D52" s="9" t="s">
        <v>1065</v>
      </c>
      <c r="E52" s="118"/>
    </row>
    <row r="53" customFormat="false" ht="22.35" hidden="false" customHeight="false" outlineLevel="0" collapsed="false">
      <c r="B53" s="4" t="n">
        <v>41</v>
      </c>
      <c r="C53" s="117" t="s">
        <v>1109</v>
      </c>
      <c r="D53" s="9" t="s">
        <v>1065</v>
      </c>
      <c r="E53" s="118"/>
    </row>
    <row r="54" customFormat="false" ht="22.35" hidden="false" customHeight="false" outlineLevel="0" collapsed="false">
      <c r="B54" s="4" t="n">
        <v>42</v>
      </c>
      <c r="C54" s="117" t="s">
        <v>1110</v>
      </c>
      <c r="D54" s="9" t="s">
        <v>1065</v>
      </c>
      <c r="E54" s="118"/>
    </row>
    <row r="56" customFormat="false" ht="15" hidden="false" customHeight="false" outlineLevel="0" collapsed="false">
      <c r="B56" s="8"/>
      <c r="C56" s="7" t="s">
        <v>1111</v>
      </c>
      <c r="D56" s="8"/>
      <c r="E56" s="8"/>
    </row>
    <row r="57" customFormat="false" ht="32.8" hidden="false" customHeight="false" outlineLevel="0" collapsed="false">
      <c r="B57" s="4" t="n">
        <v>43</v>
      </c>
      <c r="C57" s="117" t="s">
        <v>1112</v>
      </c>
      <c r="D57" s="9" t="s">
        <v>1065</v>
      </c>
      <c r="E57" s="118"/>
    </row>
    <row r="58" customFormat="false" ht="22.35" hidden="false" customHeight="false" outlineLevel="0" collapsed="false">
      <c r="B58" s="4" t="n">
        <v>44</v>
      </c>
      <c r="C58" s="117" t="s">
        <v>1113</v>
      </c>
      <c r="D58" s="9" t="s">
        <v>1065</v>
      </c>
      <c r="E58" s="118"/>
    </row>
    <row r="59" customFormat="false" ht="22.35" hidden="false" customHeight="false" outlineLevel="0" collapsed="false">
      <c r="B59" s="4" t="n">
        <v>45</v>
      </c>
      <c r="C59" s="117" t="s">
        <v>1114</v>
      </c>
      <c r="D59" s="9" t="s">
        <v>1065</v>
      </c>
      <c r="E59" s="118"/>
    </row>
    <row r="60" customFormat="false" ht="22.35" hidden="false" customHeight="false" outlineLevel="0" collapsed="false">
      <c r="B60" s="4" t="n">
        <v>46</v>
      </c>
      <c r="C60" s="117" t="s">
        <v>1115</v>
      </c>
      <c r="D60" s="9" t="s">
        <v>1065</v>
      </c>
      <c r="E60" s="118"/>
    </row>
    <row r="61" customFormat="false" ht="32.8" hidden="false" customHeight="false" outlineLevel="0" collapsed="false">
      <c r="B61" s="4" t="n">
        <v>47</v>
      </c>
      <c r="C61" s="117" t="s">
        <v>1116</v>
      </c>
      <c r="D61" s="9" t="s">
        <v>1065</v>
      </c>
      <c r="E61" s="118"/>
    </row>
    <row r="62" customFormat="false" ht="32.8" hidden="false" customHeight="false" outlineLevel="0" collapsed="false">
      <c r="B62" s="4" t="n">
        <v>48</v>
      </c>
      <c r="C62" s="117" t="s">
        <v>1117</v>
      </c>
      <c r="D62" s="9" t="s">
        <v>1065</v>
      </c>
      <c r="E62" s="118"/>
    </row>
    <row r="63" customFormat="false" ht="32.8" hidden="false" customHeight="false" outlineLevel="0" collapsed="false">
      <c r="B63" s="4" t="n">
        <v>49</v>
      </c>
      <c r="C63" s="117" t="s">
        <v>1118</v>
      </c>
      <c r="D63" s="9" t="s">
        <v>1065</v>
      </c>
      <c r="E63" s="118"/>
    </row>
    <row r="64" customFormat="false" ht="22.35" hidden="false" customHeight="false" outlineLevel="0" collapsed="false">
      <c r="B64" s="4" t="n">
        <v>50</v>
      </c>
      <c r="C64" s="117" t="s">
        <v>1119</v>
      </c>
      <c r="D64" s="9" t="s">
        <v>1065</v>
      </c>
      <c r="E64" s="118"/>
    </row>
    <row r="65" customFormat="false" ht="22.35" hidden="false" customHeight="false" outlineLevel="0" collapsed="false">
      <c r="B65" s="4" t="n">
        <v>51</v>
      </c>
      <c r="C65" s="117" t="s">
        <v>1120</v>
      </c>
      <c r="D65" s="9" t="s">
        <v>1065</v>
      </c>
      <c r="E65" s="118"/>
    </row>
    <row r="66" customFormat="false" ht="22.35" hidden="false" customHeight="false" outlineLevel="0" collapsed="false">
      <c r="B66" s="4" t="n">
        <v>52</v>
      </c>
      <c r="C66" s="117" t="s">
        <v>1121</v>
      </c>
      <c r="D66" s="9" t="s">
        <v>1065</v>
      </c>
      <c r="E66" s="118"/>
    </row>
    <row r="67" customFormat="false" ht="22.35" hidden="false" customHeight="false" outlineLevel="0" collapsed="false">
      <c r="B67" s="4" t="n">
        <v>53</v>
      </c>
      <c r="C67" s="117" t="s">
        <v>1122</v>
      </c>
      <c r="D67" s="9" t="s">
        <v>1065</v>
      </c>
      <c r="E67" s="118"/>
    </row>
    <row r="68" customFormat="false" ht="22.35" hidden="false" customHeight="false" outlineLevel="0" collapsed="false">
      <c r="B68" s="4" t="n">
        <v>54</v>
      </c>
      <c r="C68" s="117" t="s">
        <v>1123</v>
      </c>
      <c r="D68" s="9" t="s">
        <v>1065</v>
      </c>
      <c r="E68" s="118"/>
    </row>
    <row r="69" customFormat="false" ht="15" hidden="false" customHeight="false" outlineLevel="0" collapsed="false">
      <c r="B69" s="4" t="n">
        <v>55</v>
      </c>
      <c r="C69" s="117" t="s">
        <v>1124</v>
      </c>
      <c r="D69" s="9" t="s">
        <v>1065</v>
      </c>
      <c r="E69" s="118"/>
    </row>
    <row r="71" customFormat="false" ht="15" hidden="false" customHeight="false" outlineLevel="0" collapsed="false">
      <c r="B71" s="8"/>
      <c r="C71" s="7" t="s">
        <v>1125</v>
      </c>
      <c r="D71" s="8"/>
      <c r="E71" s="8"/>
    </row>
    <row r="72" customFormat="false" ht="15" hidden="false" customHeight="false" outlineLevel="0" collapsed="false">
      <c r="B72" s="4" t="n">
        <v>56</v>
      </c>
      <c r="C72" s="119" t="s">
        <v>1126</v>
      </c>
      <c r="D72" s="9" t="s">
        <v>1065</v>
      </c>
      <c r="E72" s="118"/>
    </row>
    <row r="73" customFormat="false" ht="15" hidden="false" customHeight="false" outlineLevel="0" collapsed="false">
      <c r="B73" s="4" t="n">
        <v>57</v>
      </c>
      <c r="C73" s="119" t="s">
        <v>1127</v>
      </c>
      <c r="D73" s="9" t="s">
        <v>1065</v>
      </c>
      <c r="E73" s="118"/>
    </row>
    <row r="74" customFormat="false" ht="15" hidden="false" customHeight="false" outlineLevel="0" collapsed="false">
      <c r="B74" s="4" t="n">
        <v>58</v>
      </c>
      <c r="C74" s="119" t="s">
        <v>1128</v>
      </c>
      <c r="D74" s="9" t="s">
        <v>1065</v>
      </c>
      <c r="E74" s="118"/>
    </row>
    <row r="75" customFormat="false" ht="15" hidden="false" customHeight="false" outlineLevel="0" collapsed="false">
      <c r="B75" s="4" t="n">
        <v>59</v>
      </c>
      <c r="C75" s="119" t="s">
        <v>1129</v>
      </c>
      <c r="D75" s="9" t="s">
        <v>1065</v>
      </c>
      <c r="E75" s="118"/>
    </row>
    <row r="76" customFormat="false" ht="15" hidden="false" customHeight="false" outlineLevel="0" collapsed="false">
      <c r="B76" s="4" t="n">
        <v>60</v>
      </c>
      <c r="C76" s="119" t="s">
        <v>1130</v>
      </c>
      <c r="D76" s="9" t="s">
        <v>1065</v>
      </c>
      <c r="E76" s="118"/>
    </row>
    <row r="77" customFormat="false" ht="15" hidden="false" customHeight="false" outlineLevel="0" collapsed="false">
      <c r="B77" s="4" t="n">
        <v>61</v>
      </c>
      <c r="C77" s="119" t="s">
        <v>1131</v>
      </c>
      <c r="D77" s="9" t="s">
        <v>1065</v>
      </c>
      <c r="E77" s="118"/>
    </row>
    <row r="78" customFormat="false" ht="15" hidden="false" customHeight="false" outlineLevel="0" collapsed="false">
      <c r="B78" s="4" t="n">
        <v>62</v>
      </c>
      <c r="C78" s="119" t="s">
        <v>1132</v>
      </c>
      <c r="D78" s="9" t="s">
        <v>1065</v>
      </c>
      <c r="E78" s="118"/>
    </row>
    <row r="79" customFormat="false" ht="15" hidden="false" customHeight="false" outlineLevel="0" collapsed="false">
      <c r="B79" s="4" t="n">
        <v>63</v>
      </c>
      <c r="C79" s="119" t="s">
        <v>1133</v>
      </c>
      <c r="D79" s="9" t="s">
        <v>1065</v>
      </c>
      <c r="E79" s="118"/>
    </row>
    <row r="80" customFormat="false" ht="15" hidden="false" customHeight="false" outlineLevel="0" collapsed="false">
      <c r="B80" s="4" t="n">
        <v>64</v>
      </c>
      <c r="C80" s="119" t="s">
        <v>1134</v>
      </c>
      <c r="D80" s="9" t="s">
        <v>1065</v>
      </c>
      <c r="E80" s="118"/>
    </row>
    <row r="82" customFormat="false" ht="15" hidden="false" customHeight="false" outlineLevel="0" collapsed="false">
      <c r="B82" s="8"/>
      <c r="C82" s="7" t="s">
        <v>1135</v>
      </c>
      <c r="D82" s="8"/>
      <c r="E82" s="8"/>
    </row>
    <row r="83" customFormat="false" ht="15" hidden="false" customHeight="false" outlineLevel="0" collapsed="false">
      <c r="B83" s="4" t="n">
        <v>65</v>
      </c>
      <c r="C83" s="119" t="s">
        <v>1136</v>
      </c>
      <c r="D83" s="9" t="s">
        <v>1065</v>
      </c>
      <c r="E83" s="118"/>
    </row>
    <row r="84" customFormat="false" ht="15" hidden="false" customHeight="false" outlineLevel="0" collapsed="false">
      <c r="B84" s="4" t="n">
        <v>66</v>
      </c>
      <c r="C84" s="119" t="s">
        <v>1137</v>
      </c>
      <c r="D84" s="9" t="s">
        <v>1065</v>
      </c>
      <c r="E84" s="118"/>
    </row>
    <row r="85" customFormat="false" ht="15" hidden="false" customHeight="false" outlineLevel="0" collapsed="false">
      <c r="B85" s="4" t="n">
        <v>67</v>
      </c>
      <c r="C85" s="119" t="s">
        <v>1138</v>
      </c>
      <c r="D85" s="9" t="s">
        <v>1065</v>
      </c>
      <c r="E85" s="118"/>
    </row>
    <row r="86" customFormat="false" ht="15" hidden="false" customHeight="false" outlineLevel="0" collapsed="false">
      <c r="B86" s="4" t="n">
        <v>68</v>
      </c>
      <c r="C86" s="119" t="s">
        <v>1139</v>
      </c>
      <c r="D86" s="9" t="s">
        <v>1065</v>
      </c>
      <c r="E86" s="118"/>
    </row>
    <row r="87" customFormat="false" ht="15" hidden="false" customHeight="false" outlineLevel="0" collapsed="false">
      <c r="B87" s="4" t="n">
        <v>69</v>
      </c>
      <c r="C87" s="119" t="s">
        <v>1140</v>
      </c>
      <c r="D87" s="9" t="s">
        <v>1065</v>
      </c>
      <c r="E87" s="118"/>
    </row>
    <row r="88" customFormat="false" ht="15" hidden="false" customHeight="false" outlineLevel="0" collapsed="false">
      <c r="B88" s="4" t="n">
        <v>70</v>
      </c>
      <c r="C88" s="119" t="s">
        <v>1141</v>
      </c>
      <c r="D88" s="9" t="s">
        <v>1065</v>
      </c>
      <c r="E88" s="118"/>
    </row>
    <row r="89" customFormat="false" ht="15" hidden="false" customHeight="false" outlineLevel="0" collapsed="false">
      <c r="B89" s="4" t="n">
        <v>71</v>
      </c>
      <c r="C89" s="119" t="s">
        <v>1142</v>
      </c>
      <c r="D89" s="9" t="s">
        <v>1065</v>
      </c>
      <c r="E89" s="118"/>
    </row>
    <row r="91" customFormat="false" ht="15" hidden="false" customHeight="false" outlineLevel="0" collapsed="false">
      <c r="B91" s="8"/>
      <c r="C91" s="7" t="s">
        <v>1143</v>
      </c>
      <c r="D91" s="8"/>
      <c r="E91" s="8"/>
    </row>
    <row r="92" customFormat="false" ht="15" hidden="false" customHeight="false" outlineLevel="0" collapsed="false">
      <c r="B92" s="4" t="n">
        <v>72</v>
      </c>
      <c r="C92" s="119" t="s">
        <v>1144</v>
      </c>
      <c r="D92" s="9" t="s">
        <v>1065</v>
      </c>
      <c r="E92" s="118"/>
    </row>
    <row r="93" customFormat="false" ht="23.85" hidden="false" customHeight="false" outlineLevel="0" collapsed="false">
      <c r="B93" s="4" t="n">
        <v>73</v>
      </c>
      <c r="C93" s="119" t="s">
        <v>1145</v>
      </c>
      <c r="D93" s="9" t="s">
        <v>1065</v>
      </c>
      <c r="E93" s="118"/>
    </row>
    <row r="94" customFormat="false" ht="15" hidden="false" customHeight="false" outlineLevel="0" collapsed="false">
      <c r="B94" s="4" t="n">
        <v>74</v>
      </c>
      <c r="C94" s="119" t="s">
        <v>1146</v>
      </c>
      <c r="D94" s="9" t="s">
        <v>1065</v>
      </c>
      <c r="E94" s="118"/>
    </row>
    <row r="95" customFormat="false" ht="15" hidden="false" customHeight="false" outlineLevel="0" collapsed="false">
      <c r="B95" s="4" t="n">
        <v>75</v>
      </c>
      <c r="C95" s="119" t="s">
        <v>1147</v>
      </c>
      <c r="D95" s="9" t="s">
        <v>1065</v>
      </c>
      <c r="E95" s="118"/>
    </row>
    <row r="96" customFormat="false" ht="15" hidden="false" customHeight="false" outlineLevel="0" collapsed="false">
      <c r="B96" s="4" t="n">
        <v>76</v>
      </c>
      <c r="C96" s="119" t="s">
        <v>1148</v>
      </c>
      <c r="D96" s="9" t="s">
        <v>1065</v>
      </c>
      <c r="E96" s="1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1149</v>
      </c>
    </row>
    <row r="2" customFormat="false" ht="15" hidden="false" customHeight="false" outlineLevel="0" collapsed="false">
      <c r="A2" s="2" t="s">
        <v>1150</v>
      </c>
    </row>
    <row r="4" customFormat="false" ht="15" hidden="false" customHeight="false" outlineLevel="0" collapsed="false">
      <c r="B4" s="17" t="s">
        <v>1151</v>
      </c>
      <c r="C4" s="17" t="s">
        <v>1152</v>
      </c>
      <c r="D4" s="17" t="s">
        <v>1153</v>
      </c>
      <c r="E4" s="17" t="s">
        <v>1154</v>
      </c>
      <c r="F4" s="17" t="s">
        <v>1155</v>
      </c>
    </row>
    <row r="5" customFormat="false" ht="15" hidden="false" customHeight="false" outlineLevel="0" collapsed="false">
      <c r="B5" s="18" t="s">
        <v>1156</v>
      </c>
      <c r="C5" s="9"/>
      <c r="D5" s="9"/>
      <c r="E5" s="9"/>
      <c r="F5" s="77" t="s">
        <v>1157</v>
      </c>
    </row>
    <row r="6" customFormat="false" ht="15" hidden="false" customHeight="false" outlineLevel="0" collapsed="false">
      <c r="B6" s="18" t="s">
        <v>1158</v>
      </c>
      <c r="C6" s="9"/>
      <c r="D6" s="9"/>
      <c r="E6" s="9"/>
      <c r="F6" s="77" t="s">
        <v>1159</v>
      </c>
    </row>
    <row r="7" customFormat="false" ht="15" hidden="false" customHeight="false" outlineLevel="0" collapsed="false">
      <c r="B7" s="18" t="s">
        <v>1160</v>
      </c>
      <c r="C7" s="9"/>
      <c r="D7" s="9"/>
      <c r="E7" s="9"/>
      <c r="F7" s="77" t="s">
        <v>1161</v>
      </c>
    </row>
    <row r="8" customFormat="false" ht="15" hidden="false" customHeight="false" outlineLevel="0" collapsed="false">
      <c r="B8" s="51" t="s">
        <v>1162</v>
      </c>
      <c r="C8" s="9"/>
      <c r="D8" s="9"/>
      <c r="E8" s="9"/>
      <c r="F8" s="77" t="s">
        <v>1163</v>
      </c>
    </row>
    <row r="9" customFormat="false" ht="15" hidden="false" customHeight="false" outlineLevel="0" collapsed="false">
      <c r="B9" s="18" t="s">
        <v>640</v>
      </c>
      <c r="C9" s="9"/>
      <c r="D9" s="9"/>
      <c r="E9" s="9"/>
      <c r="F9" s="77" t="s">
        <v>1164</v>
      </c>
    </row>
    <row r="10" customFormat="false" ht="15" hidden="false" customHeight="false" outlineLevel="0" collapsed="false">
      <c r="B10" s="18" t="s">
        <v>642</v>
      </c>
      <c r="C10" s="9"/>
      <c r="D10" s="9"/>
      <c r="E10" s="9"/>
      <c r="F10" s="77" t="s">
        <v>1165</v>
      </c>
    </row>
    <row r="11" customFormat="false" ht="15" hidden="false" customHeight="false" outlineLevel="0" collapsed="false">
      <c r="B11" s="18" t="s">
        <v>1166</v>
      </c>
      <c r="C11" s="9"/>
      <c r="D11" s="9"/>
      <c r="E11" s="9"/>
      <c r="F11" s="77" t="s">
        <v>1167</v>
      </c>
    </row>
    <row r="12" customFormat="false" ht="15" hidden="false" customHeight="false" outlineLevel="0" collapsed="false">
      <c r="B12" s="18" t="s">
        <v>1168</v>
      </c>
      <c r="C12" s="9"/>
      <c r="D12" s="9"/>
      <c r="E12" s="9"/>
      <c r="F12" s="77" t="s">
        <v>1169</v>
      </c>
    </row>
    <row r="13" customFormat="false" ht="15" hidden="false" customHeight="false" outlineLevel="0" collapsed="false">
      <c r="B13" s="18" t="s">
        <v>1170</v>
      </c>
      <c r="C13" s="9"/>
      <c r="D13" s="9"/>
      <c r="E13" s="9"/>
      <c r="F13" s="77" t="s">
        <v>1171</v>
      </c>
    </row>
    <row r="14" customFormat="false" ht="15" hidden="false" customHeight="false" outlineLevel="0" collapsed="false">
      <c r="B14" s="18" t="s">
        <v>670</v>
      </c>
      <c r="C14" s="9"/>
      <c r="D14" s="9"/>
      <c r="E14" s="9"/>
      <c r="F14" s="77" t="s">
        <v>1172</v>
      </c>
    </row>
    <row r="15" customFormat="false" ht="15" hidden="false" customHeight="false" outlineLevel="0" collapsed="false">
      <c r="B15" s="18" t="s">
        <v>1173</v>
      </c>
      <c r="C15" s="9"/>
      <c r="D15" s="9"/>
      <c r="E15" s="9"/>
      <c r="F15" s="77" t="s">
        <v>1174</v>
      </c>
    </row>
    <row r="16" customFormat="false" ht="15" hidden="false" customHeight="false" outlineLevel="0" collapsed="false">
      <c r="B16" s="18" t="s">
        <v>1175</v>
      </c>
      <c r="C16" s="9"/>
      <c r="D16" s="9"/>
      <c r="E16" s="9"/>
      <c r="F16" s="77" t="s">
        <v>1176</v>
      </c>
    </row>
    <row r="17" customFormat="false" ht="15" hidden="false" customHeight="false" outlineLevel="0" collapsed="false">
      <c r="B17" s="18" t="s">
        <v>672</v>
      </c>
      <c r="C17" s="9"/>
      <c r="D17" s="9"/>
      <c r="E17" s="9"/>
      <c r="F17" s="77" t="s">
        <v>1177</v>
      </c>
    </row>
    <row r="18" customFormat="false" ht="15" hidden="false" customHeight="false" outlineLevel="0" collapsed="false">
      <c r="B18" s="18" t="s">
        <v>1178</v>
      </c>
      <c r="C18" s="9"/>
      <c r="D18" s="9"/>
      <c r="E18" s="9"/>
      <c r="F18" s="77" t="s">
        <v>1179</v>
      </c>
    </row>
    <row r="19" customFormat="false" ht="15" hidden="false" customHeight="false" outlineLevel="0" collapsed="false">
      <c r="B19" s="18" t="s">
        <v>1180</v>
      </c>
      <c r="C19" s="9"/>
      <c r="D19" s="9"/>
      <c r="E19" s="9"/>
      <c r="F19" s="77" t="s">
        <v>1181</v>
      </c>
    </row>
    <row r="20" customFormat="false" ht="15" hidden="false" customHeight="false" outlineLevel="0" collapsed="false">
      <c r="B20" s="18" t="s">
        <v>1182</v>
      </c>
      <c r="C20" s="9"/>
      <c r="D20" s="9"/>
      <c r="E20" s="9"/>
      <c r="F20" s="77" t="s">
        <v>1183</v>
      </c>
    </row>
    <row r="21" customFormat="false" ht="15" hidden="false" customHeight="false" outlineLevel="0" collapsed="false">
      <c r="B21" s="18" t="s">
        <v>1184</v>
      </c>
      <c r="C21" s="9"/>
      <c r="D21" s="9"/>
      <c r="E21" s="9"/>
      <c r="F21" s="77" t="s">
        <v>1185</v>
      </c>
    </row>
    <row r="22" customFormat="false" ht="15" hidden="false" customHeight="false" outlineLevel="0" collapsed="false">
      <c r="B22" s="18" t="s">
        <v>1186</v>
      </c>
      <c r="C22" s="9"/>
      <c r="D22" s="9"/>
      <c r="E22" s="9"/>
      <c r="F22" s="77" t="s">
        <v>1187</v>
      </c>
    </row>
    <row r="23" customFormat="false" ht="15" hidden="false" customHeight="false" outlineLevel="0" collapsed="false">
      <c r="B23" s="18" t="s">
        <v>1188</v>
      </c>
      <c r="C23" s="9"/>
      <c r="D23" s="9"/>
      <c r="E23" s="9"/>
      <c r="F23" s="77" t="s">
        <v>1189</v>
      </c>
    </row>
    <row r="24" customFormat="false" ht="15" hidden="false" customHeight="false" outlineLevel="0" collapsed="false">
      <c r="B24" s="18" t="s">
        <v>1190</v>
      </c>
      <c r="C24" s="9"/>
      <c r="D24" s="9"/>
      <c r="E24" s="9"/>
      <c r="F24" s="77" t="s">
        <v>1191</v>
      </c>
    </row>
    <row r="25" customFormat="false" ht="15" hidden="false" customHeight="false" outlineLevel="0" collapsed="false">
      <c r="B25" s="18" t="s">
        <v>1192</v>
      </c>
      <c r="C25" s="9"/>
      <c r="D25" s="9"/>
      <c r="E25" s="9"/>
      <c r="F25" s="77" t="s">
        <v>1193</v>
      </c>
    </row>
    <row r="26" customFormat="false" ht="15" hidden="false" customHeight="false" outlineLevel="0" collapsed="false">
      <c r="B26" s="18" t="s">
        <v>1194</v>
      </c>
      <c r="C26" s="9"/>
      <c r="D26" s="9"/>
      <c r="E26" s="9"/>
      <c r="F26" s="77" t="s">
        <v>1195</v>
      </c>
    </row>
    <row r="27" customFormat="false" ht="15" hidden="false" customHeight="false" outlineLevel="0" collapsed="false">
      <c r="B27" s="18" t="s">
        <v>1196</v>
      </c>
      <c r="C27" s="9"/>
      <c r="D27" s="9"/>
      <c r="E27" s="9"/>
      <c r="F27" s="77" t="s">
        <v>1197</v>
      </c>
    </row>
    <row r="28" customFormat="false" ht="15" hidden="false" customHeight="false" outlineLevel="0" collapsed="false">
      <c r="B28" s="51" t="s">
        <v>1198</v>
      </c>
      <c r="C28" s="9"/>
      <c r="D28" s="9"/>
      <c r="E28" s="9"/>
      <c r="F28" s="77" t="s">
        <v>1199</v>
      </c>
    </row>
    <row r="29" customFormat="false" ht="15" hidden="false" customHeight="false" outlineLevel="0" collapsed="false">
      <c r="B29" s="18" t="s">
        <v>1200</v>
      </c>
      <c r="C29" s="9"/>
      <c r="D29" s="9"/>
      <c r="E29" s="9"/>
      <c r="F29" s="77" t="s">
        <v>1201</v>
      </c>
    </row>
    <row r="30" customFormat="false" ht="15" hidden="false" customHeight="false" outlineLevel="0" collapsed="false">
      <c r="B30" s="18" t="s">
        <v>1202</v>
      </c>
      <c r="C30" s="9"/>
      <c r="D30" s="9"/>
      <c r="E30" s="9"/>
      <c r="F30" s="77" t="s">
        <v>1203</v>
      </c>
    </row>
    <row r="31" customFormat="false" ht="15" hidden="false" customHeight="false" outlineLevel="0" collapsed="false">
      <c r="B31" s="18" t="s">
        <v>1204</v>
      </c>
      <c r="C31" s="9"/>
      <c r="D31" s="9"/>
      <c r="E31" s="9"/>
      <c r="F31" s="77" t="s">
        <v>1205</v>
      </c>
    </row>
    <row r="32" customFormat="false" ht="15" hidden="false" customHeight="false" outlineLevel="0" collapsed="false">
      <c r="B32" s="18" t="s">
        <v>1206</v>
      </c>
      <c r="C32" s="9"/>
      <c r="D32" s="9"/>
      <c r="E32" s="9"/>
      <c r="F32" s="77" t="s">
        <v>1207</v>
      </c>
    </row>
    <row r="33" customFormat="false" ht="15" hidden="false" customHeight="false" outlineLevel="0" collapsed="false">
      <c r="B33" s="18" t="s">
        <v>1208</v>
      </c>
      <c r="C33" s="9"/>
      <c r="D33" s="9"/>
      <c r="E33" s="9"/>
      <c r="F33" s="77" t="s">
        <v>1209</v>
      </c>
    </row>
    <row r="34" customFormat="false" ht="15" hidden="false" customHeight="false" outlineLevel="0" collapsed="false">
      <c r="B34" s="18" t="s">
        <v>1210</v>
      </c>
      <c r="C34" s="9"/>
      <c r="D34" s="9"/>
      <c r="E34" s="9"/>
      <c r="F34" s="77" t="s">
        <v>1211</v>
      </c>
    </row>
    <row r="35" customFormat="false" ht="15" hidden="false" customHeight="false" outlineLevel="0" collapsed="false">
      <c r="B35" s="18" t="s">
        <v>688</v>
      </c>
      <c r="C35" s="9"/>
      <c r="D35" s="9"/>
      <c r="E35" s="9"/>
      <c r="F35" s="77" t="s">
        <v>1212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2026-08-12T15:37:34Z</dcterms:created>
  <dc:creator>openpyxl</dc:creator>
  <dc:description/>
  <dc:language>en-US</dc:language>
  <cp:lastModifiedBy/>
  <dcterms:modified xsi:type="dcterms:W3CDTF">2026-08-12T15:37:34Z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