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<sst xmlns="http://schemas.openxmlformats.org/spreadsheetml/2006/main" count="1033" uniqueCount="884">
  <si>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</si>
  <si>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</si>
  <si>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</si>
  <si>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</si>
  <si>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</si>
  <si>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</si>
  <si>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</si>
  <si>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</si>
  <si>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</si>
  <si>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</si>
  <si>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</si>
  <si>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</si>
  <si>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</si>
  <si>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</si>
  <si>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</si>
  <si>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</si>
  <si>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</si>
  <si>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</si>
  <si>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</si>
  <si>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</si>
  <si>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</si>
  <si>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</si>
  <si>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</si>
  <si>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</si>
  <si>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As de 6,20 e 7,38 kWp por coincidencia ficam adequadas.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</si>
  <si>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</si>
  <si>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</si>
  <si>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</si>
  <si>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</si>
  <si>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</si>
  <si>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</si>
  <si>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</si>
  <si>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</si>
  <si>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</si>
  <si>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</si>
  <si>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</si>
  <si>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</si>
  <si>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</si>
  <si>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</si>
  <si>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</si>
  <si>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</si>
  <si>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</si>
  <si>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</si>
  <si>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</si>
  <si>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</si>
  <si>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</si>
  <si>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</si>
  <si>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</si>
  <si>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</si>
  <si>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</si>
  <si>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</si>
  <si>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</si>
  <si>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</si>
  <si>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</si>
  <si>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</si>
  <si>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</si>
  <si>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</si>
  <si>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</si>
  <si>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</si>
  <si>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</si>
  <si>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</si>
  <si>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</si>
  <si>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</si>
  <si>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</si>
  <si>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</si>
  <si>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</si>
  <si>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</si>
  <si>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</si>
  <si>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</si>
  <si>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</si>
  <si>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</si>
  <si>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</si>
  <si>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</si>
  <si>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</si>
  <si>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</si>
  <si>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</si>
  <si>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</si>
  <si>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</si>
  <si>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</si>
  <si>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</si>
  <si>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</si>
  <si>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</si>
  <si>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</si>
  <si>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</si>
  <si>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</si>
  <si>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</si>
  <si>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</si>
  <si>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</si>
  <si>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</si>
  <si>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</si>
  <si>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</si>
  <si>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</si>
  <si>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</si>
  <si>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</si>
  <si>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</si>
  <si>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</si>
  <si>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</si>
  <si>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</si>
  <si>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</si>
  <si>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</si>
  <si>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</si>
  <si>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</si>
  <si>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</si>
  <si>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</si>
  <si>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</si>
  <si>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</si>
  <si>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</si>
  <si>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</si>
  <si>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</si>
  <si>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</si>
  <si>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</si>
  <si>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</si>
  <si>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</si>
  <si>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</si>
  <si>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</si>
  <si>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</si>
  <si>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</si>
  <si>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</si>
  <si>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</si>
  <si>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</si>
  <si>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</si>
  <si>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</si>
  <si>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</si>
  <si>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</si>
  <si>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</si>
  <si>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</si>
  <si>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</si>
  <si>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</si>
  <si>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</si>
  <si>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</si>
  <si>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</si>
  <si>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</si>
  <si>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</si>
  <si>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</si>
  <si>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</si>
  <si>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</si>
  <si>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</si>
  <si>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PREENCHER</t>
  </si>
  <si>
    <t xml:space="preserve">ESTIMATIVA usa Song Plus DM-i. Confirmar: Song Plus / Song Pro / King / Seal 06 / Shark</t>
  </si>
  <si>
    <t xml:space="preserve">Capacidade da bateria</t>
  </si>
  <si>
    <t xml:space="preserve">kWh</t>
  </si>
  <si>
    <t xml:space="preserve">ESTIMATIVA (Song Plus DM-i). Confirmar no manual do veiculo</t>
  </si>
  <si>
    <t xml:space="preserve">Consumo eletrico do veiculo</t>
  </si>
  <si>
    <t xml:space="preserve">kWh/100km</t>
  </si>
  <si>
    <t xml:space="preserve">ESTIMATIVA de consumo real em modo eletrico para SUV de ~1,8 t</t>
  </si>
  <si>
    <t xml:space="preserve">Distancia percorrida por dia</t>
  </si>
  <si>
    <t xml:space="preserve">km/dia</t>
  </si>
  <si>
    <t xml:space="preserve">ESTIMATIVA - e o dado que mais muda o resultado. PREENCHER</t>
  </si>
  <si>
    <t xml:space="preserve">Dias de carregamento por mes</t>
  </si>
  <si>
    <t xml:space="preserve">dias/mes</t>
  </si>
  <si>
    <t xml:space="preserve">ESTIMATIVA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</si>
  <si>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</si>
  <si>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</si>
  <si>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</si>
  <si>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</si>
  <si>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tipico dos DM-i. Confirmar no modelo</t>
  </si>
  <si>
    <t xml:space="preserve">Horario pretendido de carregamento</t>
  </si>
  <si>
    <t xml:space="preserve">Define se o carro usa geracao solar direta (melhor) ou credito da rede (paga Fio B)</t>
  </si>
  <si>
    <t xml:space="preserve">Margem de crescimento futuro do consumo</t>
  </si>
  <si>
    <t xml:space="preserve">Premissa para o Cenario 3. A conta ja mostra alta de 22% em 6 meses e 39% ano a ano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</si>
  <si>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</si>
  <si>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</si>
  <si>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</si>
  <si>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</si>
  <si>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</si>
  <si>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</si>
  <si>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</si>
  <si>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</si>
  <si>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</si>
  <si>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</si>
  <si>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</si>
  <si>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</si>
  <si>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</si>
  <si>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</si>
  <si>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</si>
  <si>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</si>
  <si>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</si>
  <si>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</si>
  <si>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</si>
  <si>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</si>
  <si>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</si>
  <si>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</si>
  <si>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</si>
  <si>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</si>
  <si>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</si>
  <si>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</si>
  <si>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</si>
  <si>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</si>
  <si>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</si>
  <si>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</si>
  <si>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</si>
  <si>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</si>
  <si>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</si>
  <si>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</si>
  <si>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</si>
  <si>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</si>
  <si>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</si>
  <si>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</si>
  <si>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</si>
  <si>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</si>
  <si>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</si>
  <si>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</si>
  <si>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</si>
  <si>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</si>
  <si>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</si>
  <si>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</si>
  <si>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</si>
  <si>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</si>
  <si>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</si>
  <si>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</si>
  <si>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</si>
  <si>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</si>
  <si>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</si>
  <si>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</si>
  <si>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</si>
  <si>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</si>
  <si>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</si>
  <si>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</si>
  <si>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</si>
  <si>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</si>
  <si>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</si>
  <si>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</si>
  <si>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</si>
  <si>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</si>
  <si>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</si>
  <si>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</si>
  <si>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</si>
  <si>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</si>
  <si>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</si>
  <si>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</si>
  <si>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</si>
  <si>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</si>
  <si>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</si>
  <si>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</si>
  <si>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</si>
  <si>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</si>
  <si>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</si>
  <si>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</si>
  <si>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</si>
  <si>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</si>
  <si>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</si>
  <si>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</si>
  <si>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</si>
  <si>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</si>
  <si>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</si>
  <si>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</si>
  <si>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</si>
  <si>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</si>
  <si>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</si>
  <si>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</si>
  <si>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</si>
  <si>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</si>
  <si>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</si>
  <si>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</si>
  <si>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</si>
  <si>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</si>
  <si>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</si>
  <si>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</si>
  <si>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</si>
  <si>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</si>
  <si>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</si>
  <si>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</si>
  <si>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</si>
  <si>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</si>
  <si>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</si>
  <si>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</si>
  <si>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</si>
  <si>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</si>
  <si>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</si>
  <si>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</si>
  <si>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</si>
  <si>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</si>
  <si>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</si>
  <si>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</si>
  <si>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</si>
  <si>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</si>
  <si>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</si>
  <si>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</si>
  <si>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</si>
  <si>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</si>
  <si>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</si>
  <si>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</si>
  <si>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</si>
  <si>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</si>
  <si>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</si>
  <si>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</si>
  <si>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</si>
  <si>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</si>
  <si>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</si>
  <si>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</si>
  <si>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</si>
  <si>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</si>
  <si>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</si>
  <si>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</si>
  <si>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</si>
  <si>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</si>
  <si>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</si>
  <si>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</si>
  <si>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</si>
  <si>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</si>
  <si>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</si>
  <si>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</si>
  <si>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</si>
  <si>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</si>
  <si>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</si>
  <si>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</si>
  <si>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</si>
  <si>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</si>
  <si>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</si>
  <si>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</si>
  <si>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</si>
  <si>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</si>
  <si>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</si>
  <si>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</si>
  <si>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</si>
  <si>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</si>
  <si>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</si>
  <si>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 =  km x kWh/100km / 100</t>
  </si>
  <si>
    <t xml:space="preserve">Energia que sai da bateria para rodar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</si>
  <si>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</si>
  <si>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</si>
  <si>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</si>
  <si>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</si>
  <si>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</si>
  <si>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</si>
  <si>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</si>
  <si>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</si>
  <si>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</si>
  <si>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</si>
  <si>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</si>
  <si>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</si>
  <si>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</si>
  <si>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</si>
  <si>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</si>
  <si>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</si>
  <si>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</si>
  <si>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</si>
  <si>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</si>
  <si>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</si>
  <si>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</si>
  <si>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</si>
  <si>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</si>
  <si>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</si>
  <si>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</si>
  <si>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</si>
  <si>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</si>
  <si>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</si>
  <si>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</si>
  <si>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</si>
  <si>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</si>
  <si>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</si>
  <si>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</si>
  <si>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</si>
  <si>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</si>
  <si>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</si>
  <si>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</si>
  <si>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</si>
  <si>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</si>
  <si>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</si>
  <si>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</si>
  <si>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</si>
  <si>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</si>
  <si>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</si>
  <si>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ATUAL (so a residencia, media de 12 meses)</t>
  </si>
  <si>
    <t xml:space="preserve">2 - RESIDENCIA + BYD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</si>
  <si>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</si>
  <si>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</si>
  <si>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</si>
  <si>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</si>
  <si>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</si>
  <si>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</si>
  <si>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</si>
  <si>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</si>
  <si>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</si>
  <si>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</si>
  <si>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</si>
  <si>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</si>
  <si>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</si>
  <si>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</si>
  <si>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</si>
  <si>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</si>
  <si>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</si>
  <si>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</si>
  <si>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</si>
  <si>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</si>
  <si>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</si>
  <si>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</si>
  <si>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</si>
  <si>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</si>
  <si>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</si>
  <si>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</si>
  <si>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</si>
  <si>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</si>
  <si>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</si>
  <si>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</si>
  <si>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</si>
  <si>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</si>
  <si>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</si>
  <si>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</si>
  <si>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</si>
  <si>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</si>
  <si>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</si>
  <si>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</si>
  <si>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</si>
  <si>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</si>
  <si>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</si>
  <si>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</si>
  <si>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</si>
  <si>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</si>
  <si>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</si>
  <si>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</si>
  <si>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</si>
  <si>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</si>
  <si>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</si>
  <si>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</si>
  <si>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</si>
  <si>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</si>
  <si>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</si>
  <si>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</si>
  <si>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</si>
  <si>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</si>
  <si>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</si>
  <si>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</si>
  <si>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</si>
  <si>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</si>
  <si>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</si>
  <si>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</si>
  <si>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</si>
  <si>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</si>
  <si>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</si>
  <si>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</si>
  <si>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</si>
  <si>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</si>
  <si>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Colunas A e B: TecSolarSP (custo de MATERIAL). Colunas C e D: SunWash (INSTALADO). Coluna E: William (INSTALADO). Coluna F: Bruno G4, a receber.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</si>
  <si>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</si>
  <si>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</si>
  <si>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</si>
  <si>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</si>
  <si>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</si>
  <si>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</si>
  <si>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Bruno G4
(a receber)</t>
  </si>
  <si>
    <t xml:space="preserve">OBSERVACOES / ALERTAS</t>
  </si>
  <si>
    <t xml:space="preserve">Fornecedor / contato</t>
  </si>
  <si>
    <t xml:space="preserve">TecSolarSP (11) 97365-9192</t>
  </si>
  <si>
    <t xml:space="preserve">SunWash - Yuri (16) 99353-4346</t>
  </si>
  <si>
    <t xml:space="preserve">William (11) 99636-5333</t>
  </si>
  <si>
    <t xml:space="preserve">Bruno G4 (11) 96861-7830</t>
  </si>
  <si>
    <t xml:space="preserve">ALERTA: nem a proposta do William nem a mensagem da SunWash trazem CNPJ ou razao social. Sem isso nao ha a quem cobrar garantia.</t>
  </si>
  <si>
    <t xml:space="preserve">Documento recebido</t>
  </si>
  <si>
    <t xml:space="preserve">Cotacao Belenergy WEB-006506779</t>
  </si>
  <si>
    <t xml:space="preserve">Cotacao Belenergy WEB-006512519</t>
  </si>
  <si>
    <t xml:space="preserve">Mensagem de WhatsApp (10/08/2026)</t>
  </si>
  <si>
    <t xml:space="preserve">Proposta tecnica de 7 paginas</t>
  </si>
  <si>
    <t xml:space="preserve">Nada</t>
  </si>
  <si>
    <t xml:space="preserve">ALERTA: orcamento por WhatsApp nao e proposta comercial. Exigir PDF com CNPJ, escopo item a item, garantias e prazo.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</si>
  <si>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</si>
  <si>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</si>
  <si>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</si>
  <si>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</si>
  <si>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Preencha a linha 22 para tornar A e B comparaveis.</t>
  </si>
  <si>
    <t xml:space="preserve">Quantidade de modulos</t>
  </si>
  <si>
    <t xml:space="preserve">Todas informadas pelos fornecedores.</t>
  </si>
  <si>
    <t xml:space="preserve">Potencia por modulo (W)</t>
  </si>
  <si>
    <t xml:space="preserve">A SunWash escreveu '620kw', que e erro de digitacao para 620 W. Confirmar na ficha tecnica.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</si>
  <si>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</si>
  <si>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</si>
  <si>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</si>
  <si>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</si>
  <si>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</si>
  <si>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ALERTA: o modulo do William e PERC, uma geracao atras. TCL e fabricante grande de wafer, mas com pouca rede de assistencia de MODULO no Brasil - exigir registro INMETRO e quem honra a garantia aqui.</t>
  </si>
  <si>
    <t xml:space="preserve">POTENCIA DC (kWp)</t>
  </si>
  <si>
    <t xml:space="preserve">Quantidade x potencia do modulo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</si>
  <si>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</si>
  <si>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</si>
  <si>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</si>
  <si>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</si>
  <si>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</si>
  <si>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ALERTA: AUXSOL e marca de baixa penetracao no Brasil. A diferenca de R$ 1.000 para o Huawei e o melhor R$ 1.000 do projeto - ver linha 62.</t>
  </si>
  <si>
    <t xml:space="preserve">Potencia AC (kW)</t>
  </si>
  <si>
    <t xml:space="preserve">Confirmar o codigo exato do modelo e se e 220 V monofasico.</t>
  </si>
  <si>
    <t xml:space="preserve">Faixa saudavel de 1,10 a 1,35. O William esta em 1,34 - no limite, sem folga nenhuma.</t>
  </si>
  <si>
    <t xml:space="preserve">Tensao de operacao do inversor</t>
  </si>
  <si>
    <t xml:space="preserve">220 V (2 fases)</t>
  </si>
  <si>
    <t xml:space="preserve">220 V (a confirmar)</t>
  </si>
  <si>
    <t xml:space="preserve">ALERTA MAIOR DE TODOS: sua ligacao e MONOFASICA (127 V na Enel SP). Todos exigem mudanca de padrao para bifasico.</t>
  </si>
  <si>
    <t xml:space="preserve">PRECOS</t>
  </si>
  <si>
    <t xml:space="preserve">Preco BASE informado (R$)</t>
  </si>
  <si>
    <t xml:space="preserve">A, B e E: valor do KIT/material (cotacoes Belenergy). C e D: 'projeto completo' a vista informado pelo Yuri, ja com instalacao. Nas colunas C e D as linhas 20 e 21 ficam zeradas para nao contar duas vezes.</t>
  </si>
  <si>
    <t xml:space="preserve">Acrescimo regional a confirmar (R$)</t>
  </si>
  <si>
    <t xml:space="preserve">ALERTA: a SunWash informou +R$ 1.800 pela sua regiao no kit Intelbras. Nao repetiu no orcamento TCL. Mantido aqui por PRUDENCIA. Se nao incidir, zere e o payback melhora.</t>
  </si>
  <si>
    <t xml:space="preserve">Homologacao / engenharia / ART (R$)</t>
  </si>
  <si>
    <t xml:space="preserve">E: R$ 790 declarado pelo William. A e B: mesmo valor como referencia - CONFIRMAR com a TecSolarSP. C e D: o Yuri afirma que homologacao esta inclusa - EXIGIR POR ESCRITO.</t>
  </si>
  <si>
    <t xml:space="preserve">Instalacao / mao de obra (R$)</t>
  </si>
  <si>
    <t xml:space="preserve">ALERTA: E = R$ 6.900 declarado pelo William para 10 modulos. A e B usam esse mesmo valor escalado por modulo, como ESTIMATIVA - a TecSolarSP ainda NAO informou o preco de venda dela.</t>
  </si>
  <si>
    <t xml:space="preserve">Adequacao do padrao mono -&gt; bifasico (R$)</t>
  </si>
  <si>
    <t xml:space="preserve">ALERTA: nenhum dos quatro incluiu. Necessario para qualquer inversor de 220 V. Editavel na aba ENTRADAS, celula C28.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</si>
  <si>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</si>
  <si>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</si>
  <si>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</si>
  <si>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mercado. Quanto menor, melhor - desde que o escopo seja o mesmo.</t>
  </si>
  <si>
    <t xml:space="preserve">Custo do material por Wp</t>
  </si>
  <si>
    <t xml:space="preserve">n/d</t>
  </si>
  <si>
    <t xml:space="preserve">Mede a margem: A e B sao o custo do integrador. O kit do William custou R$ 11.158,91 (cotacao WEB-006493952).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</si>
  <si>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</si>
  <si>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</si>
  <si>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</si>
  <si>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</si>
  <si>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</si>
  <si>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</si>
  <si>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</si>
  <si>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 na peca da TecSolarSP. C e D: 700 kWh/mes x 12 informado pelo Yuri. E: 6.151 na proposta do William. B: nao informado.</t>
  </si>
  <si>
    <t xml:space="preserve">DESVIO DA PROMESSA</t>
  </si>
  <si>
    <t xml:space="preserve">ALERTA: negativo = o vendedor promete mais do que o telhado entrega. Positivo = o vendedor foi conservador.</t>
  </si>
  <si>
    <t xml:space="preserve">Geracao se o telhado fosse NORTE (kWh)</t>
  </si>
  <si>
    <t xml:space="preserve">Compare esta linha com a linha 31: e daqui que saem os numeros otimistas.</t>
  </si>
  <si>
    <t xml:space="preserve">ATENDIMENTO DO CONSUMO</t>
  </si>
  <si>
    <t xml:space="preserve">% do consumo atendido SEM o BYD</t>
  </si>
  <si>
    <t xml:space="preserve">Cenario 1: so a residencia. Todos parecem otimos aqui - e por isso que os vendedores acham que acertaram.</t>
  </si>
  <si>
    <t xml:space="preserve">% do consumo atendido COM o BYD (Cenario 2)</t>
  </si>
  <si>
    <t xml:space="preserve">% do consumo atendido -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</si>
  <si>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</si>
  <si>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</si>
  <si>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energia. Muito positivo = credito que expira em 60 meses (dinheiro jogado fora).</t>
  </si>
  <si>
    <t xml:space="preserve">Modulos que faltam para o Cenario 3</t>
  </si>
  <si>
    <t xml:space="preserve">Modulos atribuiveis SO ao BYD</t>
  </si>
  <si>
    <t xml:space="preserve">Placas necessarias apenas para compensar o carregamento do carro.</t>
  </si>
  <si>
    <t xml:space="preserve">RESULTADO FINANCEIRO</t>
  </si>
  <si>
    <t xml:space="preserve">Conta media mensal HOJE (sem solar, sem BYD)</t>
  </si>
  <si>
    <t xml:space="preserve">Situacao atual real.</t>
  </si>
  <si>
    <t xml:space="preserve">Conta media mensal SEM solar mas COM o BYD</t>
  </si>
  <si>
    <t xml:space="preserve">O que a conta vira se o carro chegar e nao houver energia solar.</t>
  </si>
  <si>
    <t xml:space="preserve">Conta media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</si>
  <si>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</si>
  <si>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</si>
  <si>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</si>
  <si>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</si>
  <si>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</si>
  <si>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</si>
  <si>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</si>
  <si>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</si>
  <si>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</si>
  <si>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</si>
  <si>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</si>
  <si>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</si>
  <si>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</si>
  <si>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</si>
  <si>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o Solis de 4 kW do William nao aceita nenhum modulo a mais. Ampliar exigiria trocar o inversor e refazer a homologacao.</t>
  </si>
  <si>
    <t xml:space="preserve">Geracao extra possivel sem trocar inversor (kWh/ano)</t>
  </si>
  <si>
    <t xml:space="preserve">DECISAO ESPECIFICA: AUXSOL x HUAWEI NA PROPOSTA DA SUNWASH</t>
  </si>
  <si>
    <t xml:space="preserve">Diferenca de preco (Huawei - AUXSOL)</t>
  </si>
  <si>
    <t xml:space="preserve">R$ 1.000 sobre um projeto de ~R$ 15 mil, ou seja 7%. Ver a analise na aba CHECKLIST.</t>
  </si>
  <si>
    <t xml:space="preserve">Diferenca no payback (Huawei - AUXSOL), em anos</t>
  </si>
  <si>
    <t xml:space="preserve">Diferenca no lucro de 20 anos</t>
  </si>
  <si>
    <t xml:space="preserve">RECOMENDACAO: pagar os R$ 1.000 e ficar com o HUAWEI.</t>
  </si>
  <si>
    <t xml:space="preserve">O inversor e o unico componente que quase certamente sera trocado dentro da vida do sistema. Huawei tem garantia de fabrica</t>
  </si>
  <si>
    <t xml:space="preserve">mais longa, assistencia estabelecida no Brasil, monitoramento maduro e valor de revenda. AUXSOL tem penetracao pequena:</t>
  </si>
  <si>
    <t xml:space="preserve">se a marca sair do mercado, voce fica com um sistema parado esperando peca. O atraso de ~2 meses no payback nao paga esse risco.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</si>
  <si>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</si>
  <si>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</si>
  <si>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</si>
  <si>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</si>
  <si>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</si>
  <si>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</si>
  <si>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</si>
  <si>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</si>
  <si>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</si>
  <si>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</si>
  <si>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</si>
  <si>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</si>
  <si>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</si>
  <si>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</si>
  <si>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</si>
  <si>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</si>
  <si>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</si>
  <si>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fibrocimento, William cotou telha colonial. Um dos dois nao viu o telhado. Resolver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</si>
  <si>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</si>
  <si>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</si>
  <si>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</si>
  <si>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</si>
  <si>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</si>
  <si>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</si>
  <si>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</si>
  <si>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</si>
  <si>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</si>
  <si>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</si>
  <si>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</si>
  <si>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</si>
  <si>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</si>
  <si>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</si>
  <si>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</si>
  <si>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</si>
  <si>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</si>
  <si>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</si>
  <si>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</si>
  <si>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</si>
  <si>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</si>
  <si>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</si>
  <si>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</si>
  <si>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</si>
  <si>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</si>
  <si>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</si>
  <si>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</si>
  <si>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</si>
  <si>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</si>
  <si>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</si>
  <si>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</si>
  <si>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</si>
  <si>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</si>
  <si>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</si>
  <si>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</si>
  <si>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</si>
  <si>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</si>
  <si>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</si>
  <si>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</si>
  <si>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</si>
  <si>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</si>
  <si>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</si>
  <si>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</si>
  <si>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</si>
  <si>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</si>
  <si>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</si>
  <si>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</si>
  <si>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</si>
  <si>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</si>
  <si>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</si>
  <si>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</si>
  <si>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</si>
  <si>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</si>
  <si>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</si>
  <si>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</si>
  <si>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</si>
  <si>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</si>
  <si>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</si>
  <si>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</si>
  <si>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</si>
  <si>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</si>
  <si>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</si>
  <si>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</si>
  <si>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</si>
  <si>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</si>
  <si>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</si>
  <si>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</si>
  <si>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</si>
  <si>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</si>
  <si>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</si>
  <si>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</si>
  <si>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</si>
  <si>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</si>
  <si>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</si>
  <si>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</si>
  <si>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</si>
  <si>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</si>
  <si>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</si>
  <si>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</si>
  <si>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</si>
  <si>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</si>
  <si>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615W</t>
  </si>
  <si>
    <t xml:space="preserve">B) TecSolarSP 605W</t>
  </si>
  <si>
    <t xml:space="preserve">C) SunWash AUXSOL</t>
  </si>
  <si>
    <t xml:space="preserve">D) SunWash HUAWEI</t>
  </si>
  <si>
    <t xml:space="preserve">E) William</t>
  </si>
  <si>
    <t xml:space="preserve">F) Bruno G4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</si>
  <si>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</si>
  <si>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</si>
  <si>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</si>
  <si>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</si>
  <si>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</si>
  <si>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</si>
  <si>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</si>
  <si>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</si>
  <si>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</si>
  <si>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</si>
  <si>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mesmo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</si>
  <si>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</si>
  <si>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</si>
  <si>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</si>
  <si>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</si>
  <si>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</si>
  <si>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</si>
  <si>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</si>
  <si>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</si>
  <si>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</si>
  <si>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</si>
  <si>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</si>
  <si>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</si>
  <si>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</si>
  <si>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</si>
  <si>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</si>
  <si>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</si>
  <si>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</si>
  <si>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</si>
  <si>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</si>
  <si>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</si>
  <si>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</si>
  <si>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</si>
  <si>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</si>
  <si>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</si>
  <si>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</si>
  <si>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Perda por degradacao no 1o ano</t>
  </si>
  <si>
    <t xml:space="preserve">Ja embutida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</si>
  <si>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</si>
  <si>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</si>
  <si>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</si>
  <si>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</si>
  <si>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</si>
  <si>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</si>
  <si>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</si>
  <si>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</si>
  <si>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</si>
  <si>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Inclui as perdas de carregamento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</si>
  <si>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</si>
  <si>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</si>
  <si>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</si>
  <si>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</si>
  <si>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</si>
  <si>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</si>
  <si>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</si>
  <si>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O que o carro custaria de energia 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</si>
  <si>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</si>
  <si>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</si>
  <si>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</si>
  <si>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</si>
  <si>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</si>
  <si>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Quantas placas existem no projeto por causa do carro</t>
  </si>
  <si>
    <t xml:space="preserve">PROJECAO DE 20 ANOS, ECONOMIA ACUMULADA E PAYBACK</t>
  </si>
  <si>
    <t xml:space="preserve">Economia do ano 1 corrigida por inflacao energetica e degradacao dos modulos, menos O&amp;M. 'Fluxo' = acumulado menos o investimento.</t>
  </si>
  <si>
    <t xml:space="preserve">Ano</t>
  </si>
  <si>
    <t xml:space="preserve">Fator geracao</t>
  </si>
  <si>
    <t xml:space="preserve">A) TecSolar 615
Economia</t>
  </si>
  <si>
    <t xml:space="preserve">A) TecSolar 615
Acumulado</t>
  </si>
  <si>
    <t xml:space="preserve">A) TecSolar 615
Fluxo</t>
  </si>
  <si>
    <t xml:space="preserve">B) TecSolar 605
Economia</t>
  </si>
  <si>
    <t xml:space="preserve">B) TecSolar 605
Acumulado</t>
  </si>
  <si>
    <t xml:space="preserve">B) TecSolar 605
Fluxo</t>
  </si>
  <si>
    <t xml:space="preserve">C) SunWash AUXSOL
Economia</t>
  </si>
  <si>
    <t xml:space="preserve">C) SunWash AUXSOL
Acumulado</t>
  </si>
  <si>
    <t xml:space="preserve">C) SunWash AUXSOL
Fluxo</t>
  </si>
  <si>
    <t xml:space="preserve">D) SunWash HUAWEI
Economia</t>
  </si>
  <si>
    <t xml:space="preserve">D) SunWash HUAWEI
Acumulado</t>
  </si>
  <si>
    <t xml:space="preserve">D) SunWash HUAWEI
Fluxo</t>
  </si>
  <si>
    <t xml:space="preserve">E) William
Economia</t>
  </si>
  <si>
    <t xml:space="preserve">E) William
Acumulado</t>
  </si>
  <si>
    <t xml:space="preserve">E) William
Fluxo</t>
  </si>
  <si>
    <t xml:space="preserve">Anos 5, 10 e 20 destacados. As colunas 'Fluxo' viram positivas no ano do payback ja corrigido.</t>
  </si>
  <si>
    <t xml:space="preserve">Nao inclui: troca do inversor no ano ~13 (provisionada em R$ 150/ano na aba ECONOMIA), reajustes de bandeira,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</si>
  <si>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</si>
  <si>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</si>
  <si>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</si>
  <si>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</si>
  <si>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</si>
  <si>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</si>
  <si>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</si>
  <si>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</si>
  <si>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</si>
  <si>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</si>
  <si>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</si>
  <si>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</si>
  <si>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</si>
  <si>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</si>
  <si>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</si>
  <si>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</si>
  <si>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</si>
  <si>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</si>
  <si>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</si>
  <si>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</si>
  <si>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</si>
  <si>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</si>
  <si>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</si>
  <si>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</si>
  <si>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</si>
  <si>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</si>
  <si>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</si>
  <si>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</si>
  <si>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</si>
  <si>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</si>
  <si>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</si>
  <si>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</si>
  <si>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</si>
  <si>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</si>
  <si>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</si>
  <si>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</si>
  <si>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</si>
  <si>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</si>
  <si>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</si>
  <si>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</si>
  <si>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</si>
  <si>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</si>
  <si>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</si>
  <si>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</si>
  <si>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</si>
  <si>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</si>
  <si>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</si>
  <si>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</si>
  <si>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</si>
  <si>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</si>
  <si>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</si>
  <si>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</si>
  <si>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</si>
  <si>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</si>
  <si>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</si>
  <si>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</si>
  <si>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</si>
  <si>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</si>
  <si>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</si>
  <si>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</si>
  <si>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</si>
  <si>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</si>
  <si>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</si>
  <si>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</si>
  <si>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</si>
  <si>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</si>
  <si>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</si>
  <si>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</si>
  <si>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</si>
  <si>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</si>
  <si>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</si>
  <si>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</si>
  <si>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</si>
  <si>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</si>
  <si>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</si>
  <si>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</si>
  <si>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</si>
  <si>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</si>
  <si>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</si>
  <si>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</si>
  <si>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</si>
  <si>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</si>
  <si>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</si>
  <si>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</si>
  <si>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</si>
  <si>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</si>
  <si>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</si>
  <si>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</si>
  <si>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</si>
  <si>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</si>
  <si>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</si>
  <si>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</si>
  <si>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</si>
  <si>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</si>
  <si>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</si>
  <si>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Potencia AC do inversor (kW)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</si>
  <si>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</si>
  <si>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</si>
  <si>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</si>
  <si>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</si>
  <si>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</si>
  <si>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Numero de MPPTs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</si>
  <si>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</si>
  <si>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</si>
  <si>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</si>
  <si>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</si>
  <si>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</si>
  <si>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</si>
  <si>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</si>
  <si>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</si>
  <si>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</si>
  <si>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</si>
  <si>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</si>
  <si>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</si>
  <si>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</si>
  <si>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</si>
  <si>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</si>
  <si>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</si>
  <si>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</si>
  <si>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</si>
  <si>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</si>
  <si>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</si>
  <si>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</si>
  <si>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</si>
  <si>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</si>
  <si>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</si>
  <si>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</si>
  <si>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</si>
  <si>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</si>
  <si>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</si>
  <si>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</si>
  <si>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</si>
  <si>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</si>
  <si>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</si>
  <si>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</si>
  <si>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</si>
  <si>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</si>
  <si>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Tipo de telha que o orcamento considerou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</si>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</sst>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/>
    </row>
    <row r="14" customFormat="false" ht="15" hidden="false" customHeight="false" outlineLevel="0" collapsed="false">
      <c r="B14" s="3" t="s">
        <v>11</v>
      </c>
    </row>
    <row r="15" customFormat="false" ht="15" hidden="false" customHeight="false" outlineLevel="0" collapsed="false">
      <c r="B15" s="5" t="s">
        <v>12</v>
      </c>
    </row>
    <row r="16" customFormat="false" ht="15" hidden="false" customHeight="false" outlineLevel="0" collapsed="false">
      <c r="B16" s="4" t="s">
        <v>13</v>
      </c>
    </row>
    <row r="17" customFormat="false" ht="15" hidden="false" customHeight="false" outlineLevel="0" collapsed="false">
      <c r="B17" s="4" t="s">
        <v>14</v>
      </c>
    </row>
    <row r="18" customFormat="false" ht="15" hidden="false" customHeight="false" outlineLevel="0" collapsed="false">
      <c r="B18" s="4" t="s">
        <v>15</v>
      </c>
    </row>
    <row r="19" customFormat="false" ht="15" hidden="false" customHeight="false" outlineLevel="0" collapsed="false">
      <c r="B19" s="4" t="s">
        <v>16</v>
      </c>
    </row>
    <row r="20" customFormat="false" ht="15" hidden="false" customHeight="false" outlineLevel="0" collapsed="false">
      <c r="B20" s="5" t="s">
        <v>17</v>
      </c>
    </row>
    <row r="21" customFormat="false" ht="15" hidden="false" customHeight="false" outlineLevel="0" collapsed="false">
      <c r="B21" s="4" t="s">
        <v>18</v>
      </c>
    </row>
    <row r="22" customFormat="false" ht="15" hidden="false" customHeight="false" outlineLevel="0" collapsed="false">
      <c r="B22" s="4" t="s">
        <v>19</v>
      </c>
    </row>
    <row r="23" customFormat="false" ht="15" hidden="false" customHeight="false" outlineLevel="0" collapsed="false">
      <c r="B23" s="4" t="s">
        <v>20</v>
      </c>
    </row>
    <row r="24" customFormat="false" ht="15" hidden="false" customHeight="false" outlineLevel="0" collapsed="false">
      <c r="B24" s="5" t="s">
        <v>21</v>
      </c>
    </row>
    <row r="25" customFormat="false" ht="15" hidden="false" customHeight="false" outlineLevel="0" collapsed="false">
      <c r="B25" s="4" t="s">
        <v>22</v>
      </c>
    </row>
    <row r="26" customFormat="false" ht="15" hidden="false" customHeight="false" outlineLevel="0" collapsed="false">
      <c r="B26" s="4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/>
    </row>
    <row r="29" customFormat="false" ht="15" hidden="false" customHeight="false" outlineLevel="0" collapsed="false">
      <c r="B29" s="3" t="s">
        <v>25</v>
      </c>
    </row>
    <row r="30" customFormat="false" ht="15" hidden="false" customHeight="false" outlineLevel="0" collapsed="false">
      <c r="B30" s="4" t="s">
        <v>26</v>
      </c>
    </row>
    <row r="31" customFormat="false" ht="15" hidden="false" customHeight="false" outlineLevel="0" collapsed="false">
      <c r="B31" s="4" t="s">
        <v>27</v>
      </c>
    </row>
    <row r="32" customFormat="false" ht="15" hidden="false" customHeight="false" outlineLevel="0" collapsed="false">
      <c r="B32" s="4" t="s">
        <v>28</v>
      </c>
    </row>
    <row r="33" customFormat="false" ht="15" hidden="false" customHeight="false" outlineLevel="0" collapsed="false">
      <c r="B33" s="4"/>
    </row>
    <row r="34" customFormat="false" ht="15" hidden="false" customHeight="false" outlineLevel="0" collapsed="false">
      <c r="B34" s="3" t="s">
        <v>29</v>
      </c>
    </row>
    <row r="35" customFormat="false" ht="15" hidden="false" customHeight="false" outlineLevel="0" collapsed="false">
      <c r="B35" s="6" t="s">
        <v>30</v>
      </c>
    </row>
    <row r="36" customFormat="false" ht="15" hidden="false" customHeight="false" outlineLevel="0" collapsed="false">
      <c r="B36" s="4" t="s">
        <v>31</v>
      </c>
    </row>
    <row r="37" customFormat="false" ht="15" hidden="false" customHeight="false" outlineLevel="0" collapsed="false">
      <c r="B37" s="4"/>
    </row>
    <row r="38" customFormat="false" ht="15" hidden="false" customHeight="false" outlineLevel="0" collapsed="false">
      <c r="B38" s="3" t="s">
        <v>32</v>
      </c>
    </row>
    <row r="39" customFormat="false" ht="15" hidden="false" customHeight="false" outlineLevel="0" collapsed="false">
      <c r="B39" s="4" t="s">
        <v>33</v>
      </c>
    </row>
    <row r="40" customFormat="false" ht="15" hidden="false" customHeight="false" outlineLevel="0" collapsed="false">
      <c r="B40" s="4" t="s">
        <v>34</v>
      </c>
    </row>
    <row r="41" customFormat="false" ht="15" hidden="false" customHeight="false" outlineLevel="0" collapsed="false">
      <c r="B41" s="5" t="s">
        <v>35</v>
      </c>
    </row>
    <row r="42" customFormat="false" ht="15" hidden="false" customHeight="false" outlineLevel="0" collapsed="false">
      <c r="B42" s="5" t="s">
        <v>36</v>
      </c>
    </row>
    <row r="43" customFormat="false" ht="15" hidden="false" customHeight="false" outlineLevel="0" collapsed="false">
      <c r="B43" s="5" t="s">
        <v>37</v>
      </c>
    </row>
    <row r="44" customFormat="false" ht="15" hidden="false" customHeight="false" outlineLevel="0" collapsed="false">
      <c r="B44" s="5" t="s">
        <v>38</v>
      </c>
    </row>
    <row r="45" customFormat="false" ht="15" hidden="false" customHeight="false" outlineLevel="0" collapsed="false">
      <c r="B45" s="4"/>
    </row>
    <row r="46" customFormat="false" ht="15" hidden="false" customHeight="false" outlineLevel="0" collapsed="false">
      <c r="B46" s="3" t="s">
        <v>39</v>
      </c>
    </row>
    <row r="47" customFormat="false" ht="15" hidden="false" customHeight="false" outlineLevel="0" collapsed="false">
      <c r="B47" s="4" t="s">
        <v>40</v>
      </c>
    </row>
    <row r="48" customFormat="false" ht="15" hidden="false" customHeight="false" outlineLevel="0" collapsed="false">
      <c r="B48" s="4" t="s">
        <v>41</v>
      </c>
    </row>
    <row r="49" customFormat="false" ht="15" hidden="false" customHeight="false" outlineLevel="0" collapsed="false">
      <c r="B49" s="4" t="s">
        <v>42</v>
      </c>
    </row>
    <row r="50" customFormat="false" ht="15" hidden="false" customHeight="false" outlineLevel="0" collapsed="false">
      <c r="B50" s="4" t="s">
        <v>43</v>
      </c>
    </row>
    <row r="51" customFormat="false" ht="15" hidden="false" customHeight="false" outlineLevel="0" collapsed="false">
      <c r="B51" s="4" t="s">
        <v>44</v>
      </c>
    </row>
    <row r="52" customFormat="false" ht="15" hidden="false" customHeight="false" outlineLevel="0" collapsed="false">
      <c r="B52" s="4" t="s">
        <v>45</v>
      </c>
    </row>
    <row r="53" customFormat="false" ht="15" hidden="false" customHeight="false" outlineLevel="0" collapsed="false">
      <c r="B53" s="4" t="s">
        <v>46</v>
      </c>
    </row>
    <row r="54" customFormat="false" ht="15" hidden="false" customHeight="false" outlineLevel="0" collapsed="false">
      <c r="B54" s="4" t="s">
        <v>47</v>
      </c>
    </row>
    <row r="55" customFormat="false" ht="15" hidden="false" customHeight="false" outlineLevel="0" collapsed="false">
      <c r="B55" s="4" t="s">
        <v>48</v>
      </c>
    </row>
    <row r="56" customFormat="false" ht="15" hidden="false" customHeight="false" outlineLevel="0" collapsed="false">
      <c r="B56" s="4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4"/>
    </row>
    <row r="60" customFormat="false" ht="15" hidden="false" customHeight="false" outlineLevel="0" collapsed="false">
      <c r="B60" s="3" t="s">
        <v>52</v>
      </c>
    </row>
    <row r="61" customFormat="false" ht="15" hidden="false" customHeight="false" outlineLevel="0" collapsed="false">
      <c r="B61" s="4" t="s">
        <v>53</v>
      </c>
    </row>
    <row r="62" customFormat="false" ht="15" hidden="false" customHeight="false" outlineLevel="0" collapsed="false">
      <c r="B62" s="4" t="s">
        <v>54</v>
      </c>
    </row>
    <row r="63" customFormat="false" ht="15" hidden="false" customHeight="false" outlineLevel="0" collapsed="false">
      <c r="B63" s="4" t="s">
        <v>55</v>
      </c>
    </row>
    <row r="64" customFormat="false" ht="15" hidden="false" customHeight="false" outlineLevel="0" collapsed="false">
      <c r="B64" s="4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B4" s="7" t="s">
        <v>59</v>
      </c>
      <c r="C4" s="8"/>
      <c r="D4" s="8"/>
      <c r="E4" s="8"/>
    </row>
    <row r="5" customFormat="false" ht="15" hidden="false" customHeight="false" outlineLevel="0" collapsed="false">
      <c r="B5" s="4" t="s">
        <v>60</v>
      </c>
      <c r="C5" s="9" t="s">
        <v>61</v>
      </c>
      <c r="D5" s="2"/>
      <c r="E5" s="2" t="s">
        <v>62</v>
      </c>
    </row>
    <row r="6" customFormat="false" ht="15" hidden="false" customHeight="false" outlineLevel="0" collapsed="false">
      <c r="B6" s="4" t="s">
        <v>63</v>
      </c>
      <c r="C6" s="9" t="s">
        <v>64</v>
      </c>
      <c r="D6" s="2"/>
      <c r="E6" s="10" t="s">
        <v>65</v>
      </c>
    </row>
    <row r="7" customFormat="false" ht="15" hidden="false" customHeight="false" outlineLevel="0" collapsed="false">
      <c r="B7" s="4" t="s">
        <v>66</v>
      </c>
      <c r="C7" s="9" t="s">
        <v>67</v>
      </c>
      <c r="D7" s="2"/>
      <c r="E7" s="2" t="s">
        <v>68</v>
      </c>
    </row>
    <row r="8" customFormat="false" ht="15" hidden="false" customHeight="false" outlineLevel="0" collapsed="false">
      <c r="B8" s="4" t="s">
        <v>69</v>
      </c>
      <c r="C8" s="9" t="s">
        <v>70</v>
      </c>
      <c r="D8" s="2"/>
      <c r="E8" s="2" t="s">
        <v>71</v>
      </c>
    </row>
    <row r="9" customFormat="false" ht="15" hidden="false" customHeight="false" outlineLevel="0" collapsed="false">
      <c r="B9" s="4" t="s">
        <v>72</v>
      </c>
      <c r="C9" s="11" t="n">
        <v>20</v>
      </c>
      <c r="D9" s="2" t="s">
        <v>73</v>
      </c>
      <c r="E9" s="2" t="s">
        <v>74</v>
      </c>
    </row>
    <row r="10" customFormat="false" ht="15" hidden="false" customHeight="false" outlineLevel="0" collapsed="false">
      <c r="B10" s="4" t="s">
        <v>75</v>
      </c>
      <c r="C10" s="9" t="s">
        <v>76</v>
      </c>
      <c r="D10" s="2"/>
      <c r="E10" s="10" t="s">
        <v>77</v>
      </c>
    </row>
    <row r="11" customFormat="false" ht="15" hidden="false" customHeight="false" outlineLevel="0" collapsed="false">
      <c r="B11" s="4" t="s">
        <v>78</v>
      </c>
      <c r="C11" s="9" t="s">
        <v>79</v>
      </c>
      <c r="D11" s="2"/>
      <c r="E11" s="2" t="s">
        <v>80</v>
      </c>
    </row>
    <row r="13" customFormat="false" ht="15" hidden="false" customHeight="false" outlineLevel="0" collapsed="false">
      <c r="B13" s="7" t="s">
        <v>81</v>
      </c>
      <c r="C13" s="8"/>
      <c r="D13" s="8"/>
      <c r="E13" s="8"/>
    </row>
    <row r="14" customFormat="false" ht="15" hidden="false" customHeight="false" outlineLevel="0" collapsed="false">
      <c r="B14" s="4" t="s">
        <v>82</v>
      </c>
      <c r="C14" s="9" t="s">
        <v>83</v>
      </c>
      <c r="D14" s="2"/>
      <c r="E14" s="2" t="s">
        <v>84</v>
      </c>
    </row>
    <row r="15" customFormat="false" ht="15" hidden="false" customHeight="false" outlineLevel="0" collapsed="false">
      <c r="B15" s="4" t="s">
        <v>85</v>
      </c>
      <c r="C15" s="11" t="n">
        <v>1</v>
      </c>
      <c r="D15" s="2" t="s">
        <v>86</v>
      </c>
      <c r="E15" s="2" t="s">
        <v>87</v>
      </c>
    </row>
    <row r="16" customFormat="false" ht="15" hidden="false" customHeight="false" outlineLevel="0" collapsed="false">
      <c r="B16" s="4" t="s">
        <v>88</v>
      </c>
      <c r="C16" s="11" t="n">
        <v>2</v>
      </c>
      <c r="D16" s="2" t="s">
        <v>86</v>
      </c>
      <c r="E16" s="10" t="s">
        <v>89</v>
      </c>
    </row>
    <row r="17" customFormat="false" ht="15" hidden="false" customHeight="false" outlineLevel="0" collapsed="false">
      <c r="B17" s="4" t="s">
        <v>90</v>
      </c>
      <c r="C17" s="12" t="n">
        <f aca="false">IF(C16=1,30,IF(C16=2,50,100))</f>
        <v>50</v>
      </c>
      <c r="D17" s="2" t="s">
        <v>91</v>
      </c>
      <c r="E17" s="2" t="s">
        <v>92</v>
      </c>
    </row>
    <row r="18" customFormat="false" ht="15" hidden="false" customHeight="false" outlineLevel="0" collapsed="false">
      <c r="B18" s="4" t="s">
        <v>93</v>
      </c>
      <c r="C18" s="13" t="n">
        <v>1.02147</v>
      </c>
      <c r="D18" s="2" t="s">
        <v>94</v>
      </c>
      <c r="E18" s="2" t="s">
        <v>95</v>
      </c>
    </row>
    <row r="19" customFormat="false" ht="15" hidden="false" customHeight="false" outlineLevel="0" collapsed="false">
      <c r="B19" s="4" t="s">
        <v>96</v>
      </c>
      <c r="C19" s="13" t="n">
        <v>0.59643</v>
      </c>
      <c r="D19" s="2" t="s">
        <v>94</v>
      </c>
      <c r="E19" s="2" t="s">
        <v>97</v>
      </c>
    </row>
    <row r="20" customFormat="false" ht="15" hidden="false" customHeight="false" outlineLevel="0" collapsed="false">
      <c r="B20" s="4" t="s">
        <v>98</v>
      </c>
      <c r="C20" s="13" t="n">
        <v>0.40085</v>
      </c>
      <c r="D20" s="2" t="s">
        <v>94</v>
      </c>
      <c r="E20" s="2" t="s">
        <v>99</v>
      </c>
    </row>
    <row r="21" customFormat="false" ht="15" hidden="false" customHeight="false" outlineLevel="0" collapsed="false">
      <c r="B21" s="4" t="s">
        <v>100</v>
      </c>
      <c r="C21" s="13" t="n">
        <v>0.02419</v>
      </c>
      <c r="D21" s="2" t="s">
        <v>94</v>
      </c>
      <c r="E21" s="2" t="s">
        <v>101</v>
      </c>
    </row>
    <row r="22" customFormat="false" ht="15" hidden="false" customHeight="false" outlineLevel="0" collapsed="false">
      <c r="B22" s="4" t="s">
        <v>102</v>
      </c>
      <c r="C22" s="14" t="n">
        <v>0.6</v>
      </c>
      <c r="D22" s="2"/>
      <c r="E22" s="10" t="s">
        <v>103</v>
      </c>
    </row>
    <row r="23" customFormat="false" ht="15" hidden="false" customHeight="false" outlineLevel="0" collapsed="false">
      <c r="B23" s="4" t="s">
        <v>104</v>
      </c>
      <c r="C23" s="15" t="n">
        <f aca="false">C19*C22</f>
        <v>0.357858</v>
      </c>
      <c r="D23" s="2" t="s">
        <v>94</v>
      </c>
      <c r="E23" s="2" t="s">
        <v>105</v>
      </c>
    </row>
    <row r="24" customFormat="false" ht="15" hidden="false" customHeight="false" outlineLevel="0" collapsed="false">
      <c r="B24" s="4" t="s">
        <v>106</v>
      </c>
      <c r="C24" s="14" t="n">
        <v>0.6</v>
      </c>
      <c r="D24" s="2"/>
      <c r="E24" s="2" t="s">
        <v>107</v>
      </c>
    </row>
    <row r="25" customFormat="false" ht="15" hidden="false" customHeight="false" outlineLevel="0" collapsed="false">
      <c r="B25" s="4" t="s">
        <v>108</v>
      </c>
      <c r="C25" s="15" t="n">
        <f aca="false">C23*C24</f>
        <v>0.2147148</v>
      </c>
      <c r="D25" s="2" t="s">
        <v>94</v>
      </c>
      <c r="E25" s="2" t="s">
        <v>109</v>
      </c>
    </row>
    <row r="26" customFormat="false" ht="15" hidden="false" customHeight="false" outlineLevel="0" collapsed="false">
      <c r="B26" s="4" t="s">
        <v>110</v>
      </c>
      <c r="C26" s="13" t="n">
        <v>21.11</v>
      </c>
      <c r="D26" s="2" t="s">
        <v>111</v>
      </c>
      <c r="E26" s="2" t="s">
        <v>112</v>
      </c>
    </row>
    <row r="27" customFormat="false" ht="15" hidden="false" customHeight="false" outlineLevel="0" collapsed="false">
      <c r="B27" s="4" t="s">
        <v>113</v>
      </c>
      <c r="C27" s="14" t="n">
        <v>0.07</v>
      </c>
      <c r="D27" s="2" t="s">
        <v>114</v>
      </c>
      <c r="E27" s="2" t="s">
        <v>115</v>
      </c>
    </row>
    <row r="28" customFormat="false" ht="15" hidden="false" customHeight="false" outlineLevel="0" collapsed="false">
      <c r="B28" s="4" t="s">
        <v>116</v>
      </c>
      <c r="C28" s="13" t="n">
        <v>2500</v>
      </c>
      <c r="D28" s="2" t="s">
        <v>117</v>
      </c>
      <c r="E28" s="10" t="s">
        <v>118</v>
      </c>
    </row>
    <row r="30" customFormat="false" ht="15" hidden="false" customHeight="false" outlineLevel="0" collapsed="false">
      <c r="B30" s="7" t="s">
        <v>119</v>
      </c>
      <c r="C30" s="8"/>
      <c r="D30" s="8"/>
      <c r="E30" s="8"/>
    </row>
    <row r="31" customFormat="false" ht="15" hidden="false" customHeight="false" outlineLevel="0" collapsed="false">
      <c r="B31" s="4" t="s">
        <v>120</v>
      </c>
      <c r="C31" s="14" t="n">
        <v>0.79</v>
      </c>
      <c r="D31" s="2"/>
      <c r="E31" s="2" t="s">
        <v>121</v>
      </c>
    </row>
    <row r="32" customFormat="false" ht="15" hidden="false" customHeight="false" outlineLevel="0" collapsed="false">
      <c r="B32" s="4" t="s">
        <v>122</v>
      </c>
      <c r="C32" s="14" t="n">
        <v>0.72</v>
      </c>
      <c r="D32" s="2"/>
      <c r="E32" s="2" t="s">
        <v>123</v>
      </c>
    </row>
    <row r="33" customFormat="false" ht="15" hidden="false" customHeight="false" outlineLevel="0" collapsed="false">
      <c r="B33" s="4" t="s">
        <v>124</v>
      </c>
      <c r="C33" s="14" t="n">
        <v>0.02</v>
      </c>
      <c r="D33" s="2"/>
      <c r="E33" s="2" t="s">
        <v>125</v>
      </c>
    </row>
    <row r="34" customFormat="false" ht="15" hidden="false" customHeight="false" outlineLevel="0" collapsed="false">
      <c r="B34" s="4" t="s">
        <v>126</v>
      </c>
      <c r="C34" s="14" t="n">
        <v>0.0045</v>
      </c>
      <c r="D34" s="2" t="s">
        <v>114</v>
      </c>
      <c r="E34" s="2" t="s">
        <v>127</v>
      </c>
    </row>
    <row r="35" customFormat="false" ht="15" hidden="false" customHeight="false" outlineLevel="0" collapsed="false">
      <c r="B35" s="4" t="s">
        <v>128</v>
      </c>
      <c r="C35" s="13" t="n">
        <v>300</v>
      </c>
      <c r="D35" s="2" t="s">
        <v>129</v>
      </c>
      <c r="E35" s="2" t="s">
        <v>130</v>
      </c>
    </row>
    <row r="36" customFormat="false" ht="15" hidden="false" customHeight="false" outlineLevel="0" collapsed="false">
      <c r="B36" s="4" t="s">
        <v>131</v>
      </c>
      <c r="C36" s="13" t="n">
        <v>150</v>
      </c>
      <c r="D36" s="2" t="s">
        <v>129</v>
      </c>
      <c r="E36" s="2" t="s">
        <v>132</v>
      </c>
    </row>
    <row r="37" customFormat="false" ht="15" hidden="false" customHeight="false" outlineLevel="0" collapsed="false">
      <c r="B37" s="4" t="s">
        <v>133</v>
      </c>
      <c r="C37" s="14" t="n">
        <v>0.3</v>
      </c>
      <c r="D37" s="2"/>
      <c r="E37" s="2" t="s">
        <v>134</v>
      </c>
    </row>
    <row r="39" customFormat="false" ht="15" hidden="false" customHeight="false" outlineLevel="0" collapsed="false">
      <c r="B39" s="7" t="s">
        <v>135</v>
      </c>
      <c r="C39" s="8"/>
      <c r="D39" s="8"/>
      <c r="E39" s="8"/>
    </row>
    <row r="40" customFormat="false" ht="15" hidden="false" customHeight="false" outlineLevel="0" collapsed="false">
      <c r="B40" s="4" t="s">
        <v>136</v>
      </c>
      <c r="C40" s="9" t="s">
        <v>137</v>
      </c>
      <c r="D40" s="2"/>
      <c r="E40" s="10" t="s">
        <v>138</v>
      </c>
    </row>
    <row r="41" customFormat="false" ht="15" hidden="false" customHeight="false" outlineLevel="0" collapsed="false">
      <c r="B41" s="4" t="s">
        <v>139</v>
      </c>
      <c r="C41" s="16" t="n">
        <v>18.3</v>
      </c>
      <c r="D41" s="2" t="s">
        <v>140</v>
      </c>
      <c r="E41" s="10" t="s">
        <v>141</v>
      </c>
    </row>
    <row r="42" customFormat="false" ht="15" hidden="false" customHeight="false" outlineLevel="0" collapsed="false">
      <c r="B42" s="4" t="s">
        <v>142</v>
      </c>
      <c r="C42" s="16" t="n">
        <v>17</v>
      </c>
      <c r="D42" s="2" t="s">
        <v>143</v>
      </c>
      <c r="E42" s="10" t="s">
        <v>144</v>
      </c>
    </row>
    <row r="43" customFormat="false" ht="15" hidden="false" customHeight="false" outlineLevel="0" collapsed="false">
      <c r="B43" s="4" t="s">
        <v>145</v>
      </c>
      <c r="C43" s="11" t="n">
        <v>40</v>
      </c>
      <c r="D43" s="2" t="s">
        <v>146</v>
      </c>
      <c r="E43" s="10" t="s">
        <v>147</v>
      </c>
    </row>
    <row r="44" customFormat="false" ht="15" hidden="false" customHeight="false" outlineLevel="0" collapsed="false">
      <c r="B44" s="4" t="s">
        <v>148</v>
      </c>
      <c r="C44" s="11" t="n">
        <v>26</v>
      </c>
      <c r="D44" s="2" t="s">
        <v>149</v>
      </c>
      <c r="E44" s="10" t="s">
        <v>150</v>
      </c>
    </row>
    <row r="45" customFormat="false" ht="15" hidden="false" customHeight="false" outlineLevel="0" collapsed="false">
      <c r="B45" s="4" t="s">
        <v>151</v>
      </c>
      <c r="C45" s="14" t="n">
        <v>0.86</v>
      </c>
      <c r="D45" s="2"/>
      <c r="E45" s="2" t="s">
        <v>152</v>
      </c>
    </row>
    <row r="46" customFormat="false" ht="15" hidden="false" customHeight="false" outlineLevel="0" collapsed="false">
      <c r="B46" s="4" t="s">
        <v>153</v>
      </c>
      <c r="C46" s="16" t="n">
        <v>3.3</v>
      </c>
      <c r="D46" s="2" t="s">
        <v>154</v>
      </c>
      <c r="E46" s="10" t="s">
        <v>155</v>
      </c>
    </row>
    <row r="47" customFormat="false" ht="15" hidden="false" customHeight="false" outlineLevel="0" collapsed="false">
      <c r="B47" s="4" t="s">
        <v>156</v>
      </c>
      <c r="C47" s="9" t="s">
        <v>137</v>
      </c>
      <c r="D47" s="2"/>
      <c r="E47" s="2" t="s">
        <v>157</v>
      </c>
    </row>
    <row r="48" customFormat="false" ht="15" hidden="false" customHeight="false" outlineLevel="0" collapsed="false">
      <c r="B48" s="4" t="s">
        <v>158</v>
      </c>
      <c r="C48" s="14" t="n">
        <v>0.15</v>
      </c>
      <c r="D48" s="2"/>
      <c r="E48" s="2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160</v>
      </c>
    </row>
    <row r="2" customFormat="false" ht="15" hidden="false" customHeight="false" outlineLevel="0" collapsed="false">
      <c r="A2" s="2" t="s">
        <v>161</v>
      </c>
    </row>
    <row r="4" customFormat="false" ht="15" hidden="false" customHeight="false" outlineLevel="0" collapsed="false">
      <c r="B4" s="7" t="s">
        <v>162</v>
      </c>
      <c r="C4" s="8"/>
      <c r="D4" s="8"/>
      <c r="E4" s="8"/>
      <c r="G4" s="7" t="s">
        <v>163</v>
      </c>
      <c r="H4" s="8"/>
      <c r="I4" s="8"/>
    </row>
    <row r="5" customFormat="false" ht="15" hidden="false" customHeight="false" outlineLevel="0" collapsed="false">
      <c r="B5" s="17" t="s">
        <v>164</v>
      </c>
      <c r="C5" s="17" t="s">
        <v>165</v>
      </c>
      <c r="D5" s="17" t="s">
        <v>166</v>
      </c>
      <c r="E5" s="17" t="s">
        <v>167</v>
      </c>
      <c r="G5" s="4" t="s">
        <v>168</v>
      </c>
      <c r="H5" s="13" t="n">
        <v>322.07</v>
      </c>
      <c r="I5" s="2" t="s">
        <v>169</v>
      </c>
    </row>
    <row r="6" customFormat="false" ht="15" hidden="false" customHeight="false" outlineLevel="0" collapsed="false">
      <c r="B6" s="18" t="s">
        <v>170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171</v>
      </c>
      <c r="H6" s="13" t="n">
        <v>216.46</v>
      </c>
      <c r="I6" s="2" t="s">
        <v>172</v>
      </c>
    </row>
    <row r="7" customFormat="false" ht="15" hidden="false" customHeight="false" outlineLevel="0" collapsed="false">
      <c r="B7" s="18" t="s">
        <v>173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174</v>
      </c>
      <c r="H7" s="13" t="n">
        <v>13.06</v>
      </c>
      <c r="I7" s="2" t="s">
        <v>175</v>
      </c>
    </row>
    <row r="8" customFormat="false" ht="15" hidden="false" customHeight="false" outlineLevel="0" collapsed="false">
      <c r="B8" s="18" t="s">
        <v>176</v>
      </c>
      <c r="C8" s="20" t="n">
        <v>290</v>
      </c>
      <c r="D8" s="11" t="n">
        <v>29</v>
      </c>
      <c r="E8" s="19" t="n">
        <f aca="false">IFERROR(C8/D8,0)</f>
        <v>10</v>
      </c>
      <c r="G8" s="21" t="s">
        <v>177</v>
      </c>
      <c r="H8" s="22" t="n">
        <v>551.59</v>
      </c>
      <c r="I8" s="2" t="s">
        <v>178</v>
      </c>
    </row>
    <row r="9" customFormat="false" ht="15" hidden="false" customHeight="false" outlineLevel="0" collapsed="false">
      <c r="B9" s="18" t="s">
        <v>179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180</v>
      </c>
      <c r="H9" s="13" t="n">
        <v>21.11</v>
      </c>
      <c r="I9" s="2" t="s">
        <v>181</v>
      </c>
    </row>
    <row r="10" customFormat="false" ht="15" hidden="false" customHeight="false" outlineLevel="0" collapsed="false">
      <c r="B10" s="18" t="s">
        <v>182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183</v>
      </c>
      <c r="H10" s="22" t="n">
        <v>572.7</v>
      </c>
      <c r="I10" s="2" t="s">
        <v>184</v>
      </c>
    </row>
    <row r="11" customFormat="false" ht="15" hidden="false" customHeight="false" outlineLevel="0" collapsed="false">
      <c r="B11" s="18" t="s">
        <v>185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186</v>
      </c>
      <c r="H11" s="23" t="n">
        <f aca="false">IFERROR(H8/540,0)</f>
        <v>1.02146296296296</v>
      </c>
      <c r="I11" s="2" t="s">
        <v>187</v>
      </c>
    </row>
    <row r="12" customFormat="false" ht="15" hidden="false" customHeight="false" outlineLevel="0" collapsed="false">
      <c r="B12" s="18" t="s">
        <v>188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189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190</v>
      </c>
    </row>
    <row r="14" customFormat="false" ht="15" hidden="false" customHeight="false" outlineLevel="0" collapsed="false">
      <c r="B14" s="18" t="s">
        <v>191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192</v>
      </c>
      <c r="H14" s="13" t="n">
        <v>4.14</v>
      </c>
      <c r="I14" s="2" t="s">
        <v>193</v>
      </c>
    </row>
    <row r="15" customFormat="false" ht="15" hidden="false" customHeight="false" outlineLevel="0" collapsed="false">
      <c r="B15" s="18" t="s">
        <v>194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195</v>
      </c>
      <c r="H15" s="13" t="n">
        <v>19.12</v>
      </c>
      <c r="I15" s="2" t="s">
        <v>193</v>
      </c>
    </row>
    <row r="16" customFormat="false" ht="15" hidden="false" customHeight="false" outlineLevel="0" collapsed="false">
      <c r="B16" s="18" t="s">
        <v>196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197</v>
      </c>
      <c r="H16" s="13" t="n">
        <v>99.28</v>
      </c>
      <c r="I16" s="2" t="s">
        <v>198</v>
      </c>
    </row>
    <row r="17" customFormat="false" ht="15" hidden="false" customHeight="false" outlineLevel="0" collapsed="false">
      <c r="B17" s="18" t="s">
        <v>199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200</v>
      </c>
      <c r="H17" s="22" t="n">
        <v>122.54</v>
      </c>
      <c r="I17" s="2" t="s">
        <v>201</v>
      </c>
    </row>
    <row r="18" customFormat="false" ht="15" hidden="false" customHeight="false" outlineLevel="0" collapsed="false">
      <c r="B18" s="18" t="s">
        <v>202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203</v>
      </c>
      <c r="G19" s="3" t="s">
        <v>204</v>
      </c>
    </row>
    <row r="20" customFormat="false" ht="15" hidden="false" customHeight="false" outlineLevel="0" collapsed="false">
      <c r="G20" s="4" t="s">
        <v>66</v>
      </c>
      <c r="H20" s="25" t="s">
        <v>205</v>
      </c>
    </row>
    <row r="21" customFormat="false" ht="15" hidden="false" customHeight="false" outlineLevel="0" collapsed="false">
      <c r="B21" s="7" t="s">
        <v>206</v>
      </c>
      <c r="C21" s="8"/>
      <c r="D21" s="8"/>
      <c r="E21" s="8"/>
      <c r="G21" s="4" t="s">
        <v>207</v>
      </c>
      <c r="H21" s="25" t="s">
        <v>208</v>
      </c>
    </row>
    <row r="22" customFormat="false" ht="15" hidden="false" customHeight="false" outlineLevel="0" collapsed="false">
      <c r="B22" s="21" t="s">
        <v>209</v>
      </c>
      <c r="C22" s="26" t="n">
        <f aca="false">SUM(C7:C18)</f>
        <v>4576</v>
      </c>
      <c r="D22" s="2" t="s">
        <v>210</v>
      </c>
      <c r="G22" s="4" t="s">
        <v>211</v>
      </c>
      <c r="H22" s="25" t="s">
        <v>212</v>
      </c>
    </row>
    <row r="23" customFormat="false" ht="15" hidden="false" customHeight="false" outlineLevel="0" collapsed="false">
      <c r="B23" s="4" t="s">
        <v>213</v>
      </c>
      <c r="C23" s="27" t="n">
        <f aca="false">C22/12</f>
        <v>381.333333333333</v>
      </c>
      <c r="D23" s="2" t="s">
        <v>91</v>
      </c>
      <c r="G23" s="4" t="s">
        <v>82</v>
      </c>
      <c r="H23" s="25" t="s">
        <v>214</v>
      </c>
    </row>
    <row r="24" customFormat="false" ht="15" hidden="false" customHeight="false" outlineLevel="0" collapsed="false">
      <c r="B24" s="4" t="s">
        <v>215</v>
      </c>
      <c r="C24" s="12" t="n">
        <f aca="false">SUM(D7:D18)</f>
        <v>366</v>
      </c>
      <c r="D24" s="2" t="s">
        <v>216</v>
      </c>
      <c r="G24" s="4" t="s">
        <v>217</v>
      </c>
      <c r="H24" s="28" t="s">
        <v>218</v>
      </c>
    </row>
    <row r="25" customFormat="false" ht="15" hidden="false" customHeight="false" outlineLevel="0" collapsed="false">
      <c r="B25" s="4" t="s">
        <v>219</v>
      </c>
      <c r="C25" s="29" t="n">
        <f aca="false">IFERROR(C22/C24,0)</f>
        <v>12.5027322404372</v>
      </c>
      <c r="D25" s="2" t="s">
        <v>220</v>
      </c>
      <c r="G25" s="4" t="s">
        <v>221</v>
      </c>
      <c r="H25" s="28" t="s">
        <v>222</v>
      </c>
    </row>
    <row r="26" customFormat="false" ht="15" hidden="false" customHeight="false" outlineLevel="0" collapsed="false">
      <c r="B26" s="4" t="s">
        <v>223</v>
      </c>
      <c r="C26" s="12" t="n">
        <f aca="false">MAX(C7:C18)</f>
        <v>540</v>
      </c>
      <c r="D26" s="2" t="s">
        <v>140</v>
      </c>
      <c r="G26" s="4" t="s">
        <v>224</v>
      </c>
      <c r="H26" s="25" t="s">
        <v>225</v>
      </c>
    </row>
    <row r="27" customFormat="false" ht="15" hidden="false" customHeight="false" outlineLevel="0" collapsed="false">
      <c r="B27" s="4" t="s">
        <v>226</v>
      </c>
      <c r="C27" s="12" t="n">
        <f aca="false">MIN(C7:C18)</f>
        <v>290</v>
      </c>
      <c r="D27" s="2" t="s">
        <v>140</v>
      </c>
      <c r="G27" s="4" t="s">
        <v>227</v>
      </c>
      <c r="H27" s="25" t="s">
        <v>228</v>
      </c>
    </row>
    <row r="28" customFormat="false" ht="15" hidden="false" customHeight="false" outlineLevel="0" collapsed="false">
      <c r="B28" s="4" t="s">
        <v>229</v>
      </c>
      <c r="C28" s="30" t="n">
        <f aca="false">IFERROR(C26/C27-1,0)</f>
        <v>0.862068965517241</v>
      </c>
      <c r="D28" s="2"/>
      <c r="G28" s="4" t="s">
        <v>230</v>
      </c>
      <c r="H28" s="25" t="s">
        <v>231</v>
      </c>
    </row>
    <row r="29" customFormat="false" ht="15" hidden="false" customHeight="false" outlineLevel="0" collapsed="false">
      <c r="B29" s="4" t="s">
        <v>232</v>
      </c>
      <c r="C29" s="12" t="n">
        <f aca="false">C18</f>
        <v>540</v>
      </c>
      <c r="D29" s="2" t="s">
        <v>140</v>
      </c>
      <c r="G29" s="4" t="s">
        <v>233</v>
      </c>
      <c r="H29" s="25" t="s">
        <v>234</v>
      </c>
    </row>
    <row r="30" customFormat="false" ht="15" hidden="false" customHeight="false" outlineLevel="0" collapsed="false">
      <c r="B30" s="4" t="s">
        <v>235</v>
      </c>
      <c r="C30" s="30" t="n">
        <f aca="false">IFERROR(C29/C23-1,0)</f>
        <v>0.416083916083916</v>
      </c>
      <c r="D30" s="2"/>
      <c r="G30" s="4" t="s">
        <v>236</v>
      </c>
      <c r="H30" s="25" t="s">
        <v>237</v>
      </c>
    </row>
    <row r="31" customFormat="false" ht="15" hidden="false" customHeight="false" outlineLevel="0" collapsed="false">
      <c r="B31" s="4" t="s">
        <v>238</v>
      </c>
      <c r="C31" s="29" t="n">
        <f aca="false">AVERAGE(C7:C12)</f>
        <v>343.5</v>
      </c>
      <c r="D31" s="2" t="s">
        <v>91</v>
      </c>
      <c r="G31" s="4" t="s">
        <v>239</v>
      </c>
      <c r="H31" s="25" t="s">
        <v>240</v>
      </c>
    </row>
    <row r="32" customFormat="false" ht="15" hidden="false" customHeight="false" outlineLevel="0" collapsed="false">
      <c r="B32" s="4" t="s">
        <v>241</v>
      </c>
      <c r="C32" s="29" t="n">
        <f aca="false">AVERAGE(C13:C18)</f>
        <v>419.166666666667</v>
      </c>
      <c r="D32" s="2" t="s">
        <v>91</v>
      </c>
      <c r="G32" s="4" t="s">
        <v>242</v>
      </c>
      <c r="H32" s="25" t="s">
        <v>243</v>
      </c>
    </row>
    <row r="33" customFormat="false" ht="15" hidden="false" customHeight="false" outlineLevel="0" collapsed="false">
      <c r="B33" s="4" t="s">
        <v>244</v>
      </c>
      <c r="C33" s="31" t="n">
        <f aca="false">IFERROR(C32/C31-1,0)</f>
        <v>0.220281416787967</v>
      </c>
      <c r="D33" s="2" t="s">
        <v>245</v>
      </c>
      <c r="G33" s="4" t="s">
        <v>246</v>
      </c>
      <c r="H33" s="25" t="s">
        <v>247</v>
      </c>
    </row>
    <row r="34" customFormat="false" ht="15" hidden="false" customHeight="false" outlineLevel="0" collapsed="false">
      <c r="B34" s="4" t="s">
        <v>248</v>
      </c>
      <c r="C34" s="31" t="n">
        <f aca="false">IFERROR(C18/C6-1,0)</f>
        <v>0.388174807197943</v>
      </c>
      <c r="D34" s="2" t="s">
        <v>249</v>
      </c>
    </row>
    <row r="36" customFormat="false" ht="15" hidden="false" customHeight="false" outlineLevel="0" collapsed="false">
      <c r="B36" s="7" t="s">
        <v>250</v>
      </c>
      <c r="C36" s="8"/>
      <c r="D36" s="8"/>
      <c r="E36" s="8"/>
    </row>
    <row r="37" customFormat="false" ht="15" hidden="false" customHeight="false" outlineLevel="0" collapsed="false">
      <c r="B37" s="17" t="s">
        <v>251</v>
      </c>
      <c r="C37" s="17" t="s">
        <v>165</v>
      </c>
      <c r="D37" s="17" t="s">
        <v>252</v>
      </c>
    </row>
    <row r="38" customFormat="false" ht="15" hidden="false" customHeight="false" outlineLevel="0" collapsed="false">
      <c r="B38" s="18" t="s">
        <v>253</v>
      </c>
      <c r="C38" s="32" t="n">
        <f aca="false">C12</f>
        <v>372</v>
      </c>
      <c r="D38" s="33" t="s">
        <v>188</v>
      </c>
    </row>
    <row r="39" customFormat="false" ht="15" hidden="false" customHeight="false" outlineLevel="0" collapsed="false">
      <c r="B39" s="18" t="s">
        <v>254</v>
      </c>
      <c r="C39" s="32" t="n">
        <f aca="false">C13</f>
        <v>348</v>
      </c>
      <c r="D39" s="33" t="s">
        <v>189</v>
      </c>
    </row>
    <row r="40" customFormat="false" ht="15" hidden="false" customHeight="false" outlineLevel="0" collapsed="false">
      <c r="B40" s="18" t="s">
        <v>255</v>
      </c>
      <c r="C40" s="32" t="n">
        <f aca="false">C14</f>
        <v>354</v>
      </c>
      <c r="D40" s="33" t="s">
        <v>191</v>
      </c>
    </row>
    <row r="41" customFormat="false" ht="15" hidden="false" customHeight="false" outlineLevel="0" collapsed="false">
      <c r="B41" s="18" t="s">
        <v>256</v>
      </c>
      <c r="C41" s="32" t="n">
        <f aca="false">C15</f>
        <v>394</v>
      </c>
      <c r="D41" s="33" t="s">
        <v>194</v>
      </c>
    </row>
    <row r="42" customFormat="false" ht="15" hidden="false" customHeight="false" outlineLevel="0" collapsed="false">
      <c r="B42" s="18" t="s">
        <v>257</v>
      </c>
      <c r="C42" s="32" t="n">
        <f aca="false">C16</f>
        <v>457</v>
      </c>
      <c r="D42" s="33" t="s">
        <v>196</v>
      </c>
    </row>
    <row r="43" customFormat="false" ht="15" hidden="false" customHeight="false" outlineLevel="0" collapsed="false">
      <c r="B43" s="18" t="s">
        <v>258</v>
      </c>
      <c r="C43" s="32" t="n">
        <f aca="false">C17</f>
        <v>422</v>
      </c>
      <c r="D43" s="33" t="s">
        <v>199</v>
      </c>
    </row>
    <row r="44" customFormat="false" ht="15" hidden="false" customHeight="false" outlineLevel="0" collapsed="false">
      <c r="B44" s="18" t="s">
        <v>259</v>
      </c>
      <c r="C44" s="32" t="n">
        <f aca="false">C18</f>
        <v>540</v>
      </c>
      <c r="D44" s="33" t="s">
        <v>202</v>
      </c>
    </row>
    <row r="45" customFormat="false" ht="15" hidden="false" customHeight="false" outlineLevel="0" collapsed="false">
      <c r="B45" s="18" t="s">
        <v>260</v>
      </c>
      <c r="C45" s="32" t="n">
        <f aca="false">C7</f>
        <v>364</v>
      </c>
      <c r="D45" s="33" t="s">
        <v>173</v>
      </c>
    </row>
    <row r="46" customFormat="false" ht="15" hidden="false" customHeight="false" outlineLevel="0" collapsed="false">
      <c r="B46" s="18" t="s">
        <v>261</v>
      </c>
      <c r="C46" s="32" t="n">
        <f aca="false">C8</f>
        <v>290</v>
      </c>
      <c r="D46" s="33" t="s">
        <v>176</v>
      </c>
    </row>
    <row r="47" customFormat="false" ht="15" hidden="false" customHeight="false" outlineLevel="0" collapsed="false">
      <c r="B47" s="18" t="s">
        <v>262</v>
      </c>
      <c r="C47" s="32" t="n">
        <f aca="false">C9</f>
        <v>375</v>
      </c>
      <c r="D47" s="33" t="s">
        <v>179</v>
      </c>
    </row>
    <row r="48" customFormat="false" ht="15" hidden="false" customHeight="false" outlineLevel="0" collapsed="false">
      <c r="B48" s="18" t="s">
        <v>263</v>
      </c>
      <c r="C48" s="32" t="n">
        <f aca="false">C10</f>
        <v>337</v>
      </c>
      <c r="D48" s="33" t="s">
        <v>182</v>
      </c>
    </row>
    <row r="49" customFormat="false" ht="15" hidden="false" customHeight="false" outlineLevel="0" collapsed="false">
      <c r="B49" s="18" t="s">
        <v>264</v>
      </c>
      <c r="C49" s="32" t="n">
        <f aca="false">C11</f>
        <v>323</v>
      </c>
      <c r="D49" s="33" t="s">
        <v>185</v>
      </c>
    </row>
    <row r="50" customFormat="false" ht="15" hidden="false" customHeight="false" outlineLevel="0" collapsed="false">
      <c r="B50" s="21" t="s">
        <v>265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266</v>
      </c>
      <c r="C52" s="8"/>
      <c r="D52" s="8"/>
      <c r="E52" s="8"/>
    </row>
    <row r="53" customFormat="false" ht="15" hidden="false" customHeight="false" outlineLevel="0" collapsed="false">
      <c r="B53" s="21" t="s">
        <v>267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268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269</v>
      </c>
      <c r="C55" s="35" t="n">
        <f aca="false">H10</f>
        <v>572.7</v>
      </c>
    </row>
    <row r="57" customFormat="false" ht="15" hidden="false" customHeight="false" outlineLevel="0" collapsed="false">
      <c r="B57" s="3" t="s">
        <v>270</v>
      </c>
    </row>
    <row r="58" customFormat="false" ht="15" hidden="false" customHeight="false" outlineLevel="0" collapsed="false">
      <c r="B58" s="4" t="s">
        <v>271</v>
      </c>
    </row>
    <row r="59" customFormat="false" ht="15" hidden="false" customHeight="false" outlineLevel="0" collapsed="false">
      <c r="B59" s="3" t="s">
        <v>272</v>
      </c>
    </row>
    <row r="60" customFormat="false" ht="15" hidden="false" customHeight="false" outlineLevel="0" collapsed="false">
      <c r="B60" s="4" t="s">
        <v>273</v>
      </c>
    </row>
    <row r="61" customFormat="false" ht="15" hidden="false" customHeight="false" outlineLevel="0" collapsed="false">
      <c r="B61" s="4" t="s">
        <v>274</v>
      </c>
    </row>
    <row r="62" customFormat="false" ht="15" hidden="false" customHeight="false" outlineLevel="0" collapsed="false">
      <c r="B62" s="4" t="s">
        <v>275</v>
      </c>
    </row>
    <row r="63" customFormat="false" ht="15" hidden="false" customHeight="false" outlineLevel="0" collapsed="false">
      <c r="B63" s="5" t="s">
        <v>276</v>
      </c>
    </row>
    <row r="64" customFormat="false" ht="15" hidden="false" customHeight="false" outlineLevel="0" collapsed="false">
      <c r="B64" s="4" t="s">
        <v>277</v>
      </c>
    </row>
    <row r="65" customFormat="false" ht="15" hidden="false" customHeight="false" outlineLevel="0" collapsed="false">
      <c r="B65" s="4" t="s">
        <v>278</v>
      </c>
    </row>
    <row r="66" customFormat="false" ht="15" hidden="false" customHeight="false" outlineLevel="0" collapsed="false">
      <c r="B66" s="5" t="s">
        <v>279</v>
      </c>
    </row>
    <row r="67" customFormat="false" ht="15" hidden="false" customHeight="false" outlineLevel="0" collapsed="false">
      <c r="B67" s="4" t="s">
        <v>280</v>
      </c>
    </row>
    <row r="68" customFormat="false" ht="15" hidden="false" customHeight="false" outlineLevel="0" collapsed="false">
      <c r="B68" s="4" t="s">
        <v>281</v>
      </c>
    </row>
    <row r="69" customFormat="false" ht="15" hidden="false" customHeight="false" outlineLevel="0" collapsed="false">
      <c r="B69" s="4" t="s">
        <v>282</v>
      </c>
    </row>
    <row r="70" customFormat="false" ht="15" hidden="false" customHeight="false" outlineLevel="0" collapsed="false">
      <c r="B70" s="4" t="s">
        <v>283</v>
      </c>
    </row>
    <row r="71" customFormat="false" ht="15" hidden="false" customHeight="false" outlineLevel="0" collapsed="false">
      <c r="B71" s="4" t="s">
        <v>284</v>
      </c>
    </row>
    <row r="72" customFormat="false" ht="15" hidden="false" customHeight="false" outlineLevel="0" collapsed="false">
      <c r="B72" s="4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286</v>
      </c>
    </row>
    <row r="2" customFormat="false" ht="15" hidden="false" customHeight="false" outlineLevel="0" collapsed="false">
      <c r="A2" s="2" t="s">
        <v>287</v>
      </c>
    </row>
    <row r="4" customFormat="false" ht="42" hidden="false" customHeight="true" outlineLevel="0" collapsed="false">
      <c r="B4" s="17" t="s">
        <v>251</v>
      </c>
      <c r="C4" s="17" t="s">
        <v>166</v>
      </c>
      <c r="D4" s="17" t="s">
        <v>288</v>
      </c>
      <c r="E4" s="17" t="s">
        <v>289</v>
      </c>
      <c r="F4" s="17" t="s">
        <v>290</v>
      </c>
      <c r="G4" s="17" t="s">
        <v>291</v>
      </c>
      <c r="H4" s="17" t="s">
        <v>292</v>
      </c>
      <c r="I4" s="17" t="s">
        <v>293</v>
      </c>
      <c r="J4" s="17" t="s">
        <v>294</v>
      </c>
      <c r="K4" s="17" t="s">
        <v>295</v>
      </c>
    </row>
    <row r="5" customFormat="false" ht="15" hidden="false" customHeight="false" outlineLevel="0" collapsed="false">
      <c r="B5" s="18" t="s">
        <v>253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6" t="n">
        <f aca="false">F5*C5*ENTRADAS!$C$31</f>
        <v>125.90309</v>
      </c>
      <c r="J5" s="36" t="n">
        <f aca="false">H5*C5*ENTRADAS!$C$31</f>
        <v>132.39294</v>
      </c>
      <c r="K5" s="37" t="n">
        <f aca="false">IFERROR(I5/J5-1,0)</f>
        <v>-0.0490196078431371</v>
      </c>
    </row>
    <row r="6" customFormat="false" ht="15" hidden="false" customHeight="false" outlineLevel="0" collapsed="false">
      <c r="B6" s="18" t="s">
        <v>254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6" t="n">
        <f aca="false">F6*C6*ENTRADAS!$C$31</f>
        <v>114.67008</v>
      </c>
      <c r="J6" s="36" t="n">
        <f aca="false">H6*C6*ENTRADAS!$C$31</f>
        <v>124.22592</v>
      </c>
      <c r="K6" s="37" t="n">
        <f aca="false">IFERROR(I6/J6-1,0)</f>
        <v>-0.076923076923077</v>
      </c>
    </row>
    <row r="7" customFormat="false" ht="15" hidden="false" customHeight="false" outlineLevel="0" collapsed="false">
      <c r="B7" s="18" t="s">
        <v>255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6" t="n">
        <f aca="false">F7*C7*ENTRADAS!$C$31</f>
        <v>114.00095</v>
      </c>
      <c r="J7" s="36" t="n">
        <f aca="false">H7*C7*ENTRADAS!$C$31</f>
        <v>128.40107</v>
      </c>
      <c r="K7" s="37" t="n">
        <f aca="false">IFERROR(I7/J7-1,0)</f>
        <v>-0.11214953271028</v>
      </c>
    </row>
    <row r="8" customFormat="false" ht="15" hidden="false" customHeight="false" outlineLevel="0" collapsed="false">
      <c r="B8" s="18" t="s">
        <v>256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6" t="n">
        <f aca="false">F8*C8*ENTRADAS!$C$31</f>
        <v>98.0232</v>
      </c>
      <c r="J8" s="36" t="n">
        <f aca="false">H8*C8*ENTRADAS!$C$31</f>
        <v>115.7508</v>
      </c>
      <c r="K8" s="37" t="n">
        <f aca="false">IFERROR(I8/J8-1,0)</f>
        <v>-0.153153153153153</v>
      </c>
    </row>
    <row r="9" customFormat="false" ht="15" hidden="false" customHeight="false" outlineLevel="0" collapsed="false">
      <c r="B9" s="18" t="s">
        <v>257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6" t="n">
        <f aca="false">F9*C9*ENTRADAS!$C$31</f>
        <v>83.36396</v>
      </c>
      <c r="J9" s="36" t="n">
        <f aca="false">H9*C9*ENTRADAS!$C$31</f>
        <v>103.29882</v>
      </c>
      <c r="K9" s="37" t="n">
        <f aca="false">IFERROR(I9/J9-1,0)</f>
        <v>-0.192982456140351</v>
      </c>
    </row>
    <row r="10" customFormat="false" ht="15" hidden="false" customHeight="false" outlineLevel="0" collapsed="false">
      <c r="B10" s="18" t="s">
        <v>258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6" t="n">
        <f aca="false">F10*C10*ENTRADAS!$C$31</f>
        <v>75.4845</v>
      </c>
      <c r="J10" s="36" t="n">
        <f aca="false">H10*C10*ENTRADAS!$C$31</f>
        <v>96.222</v>
      </c>
      <c r="K10" s="37" t="n">
        <f aca="false">IFERROR(I10/J10-1,0)</f>
        <v>-0.21551724137931</v>
      </c>
    </row>
    <row r="11" customFormat="false" ht="15" hidden="false" customHeight="false" outlineLevel="0" collapsed="false">
      <c r="B11" s="18" t="s">
        <v>259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6" t="n">
        <f aca="false">F11*C11*ENTRADAS!$C$31</f>
        <v>81.343535</v>
      </c>
      <c r="J11" s="36" t="n">
        <f aca="false">H11*C11*ENTRADAS!$C$31</f>
        <v>102.796775</v>
      </c>
      <c r="K11" s="37" t="n">
        <f aca="false">IFERROR(I11/J11-1,0)</f>
        <v>-0.208695652173913</v>
      </c>
    </row>
    <row r="12" customFormat="false" ht="15" hidden="false" customHeight="false" outlineLevel="0" collapsed="false">
      <c r="B12" s="18" t="s">
        <v>260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6" t="n">
        <f aca="false">F12*C12*ENTRADAS!$C$31</f>
        <v>103.629435</v>
      </c>
      <c r="J12" s="36" t="n">
        <f aca="false">H12*C12*ENTRADAS!$C$31</f>
        <v>123.686745</v>
      </c>
      <c r="K12" s="37" t="n">
        <f aca="false">IFERROR(I12/J12-1,0)</f>
        <v>-0.162162162162162</v>
      </c>
    </row>
    <row r="13" customFormat="false" ht="15" hidden="false" customHeight="false" outlineLevel="0" collapsed="false">
      <c r="B13" s="18" t="s">
        <v>261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6" t="n">
        <f aca="false">F13*C13*ENTRADAS!$C$31</f>
        <v>100.19175</v>
      </c>
      <c r="J13" s="36" t="n">
        <f aca="false">H13*C13*ENTRADAS!$C$31</f>
        <v>111.7929</v>
      </c>
      <c r="K13" s="37" t="n">
        <f aca="false">IFERROR(I13/J13-1,0)</f>
        <v>-0.10377358490566</v>
      </c>
    </row>
    <row r="14" customFormat="false" ht="15" hidden="false" customHeight="false" outlineLevel="0" collapsed="false">
      <c r="B14" s="18" t="s">
        <v>262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6" t="n">
        <f aca="false">F14*C14*ENTRADAS!$C$31</f>
        <v>115.20096</v>
      </c>
      <c r="J14" s="36" t="n">
        <f aca="false">H14*C14*ENTRADAS!$C$31</f>
        <v>122.40102</v>
      </c>
      <c r="K14" s="37" t="n">
        <f aca="false">IFERROR(I14/J14-1,0)</f>
        <v>-0.0588235294117648</v>
      </c>
    </row>
    <row r="15" customFormat="false" ht="15" hidden="false" customHeight="false" outlineLevel="0" collapsed="false">
      <c r="B15" s="18" t="s">
        <v>263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6" t="n">
        <f aca="false">F15*C15*ENTRADAS!$C$31</f>
        <v>122.99115</v>
      </c>
      <c r="J15" s="36" t="n">
        <f aca="false">H15*C15*ENTRADAS!$C$31</f>
        <v>126.795</v>
      </c>
      <c r="K15" s="37" t="n">
        <f aca="false">IFERROR(I15/J15-1,0)</f>
        <v>-0.03</v>
      </c>
    </row>
    <row r="16" customFormat="false" ht="15" hidden="false" customHeight="false" outlineLevel="0" collapsed="false">
      <c r="B16" s="18" t="s">
        <v>264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6" t="n">
        <f aca="false">F16*C16*ENTRADAS!$C$31</f>
        <v>129.466385</v>
      </c>
      <c r="J16" s="36" t="n">
        <f aca="false">H16*C16*ENTRADAS!$C$31</f>
        <v>133.4705</v>
      </c>
      <c r="K16" s="37" t="n">
        <f aca="false">IFERROR(I16/J16-1,0)</f>
        <v>-0.0299999999999999</v>
      </c>
    </row>
    <row r="17" customFormat="false" ht="15" hidden="false" customHeight="false" outlineLevel="0" collapsed="false">
      <c r="B17" s="38" t="s">
        <v>296</v>
      </c>
      <c r="C17" s="39" t="n">
        <f aca="false">SUM(C5:C16)</f>
        <v>365</v>
      </c>
      <c r="D17" s="40" t="n">
        <f aca="false">AVERAGE(D5:D16)</f>
        <v>4.62916666666667</v>
      </c>
      <c r="E17" s="41"/>
      <c r="F17" s="40" t="n">
        <f aca="false">AVERAGE(F5:F16)</f>
        <v>4.38879166666667</v>
      </c>
      <c r="G17" s="41"/>
      <c r="H17" s="40" t="n">
        <f aca="false">AVERAGE(H5:H16)</f>
        <v>4.9325</v>
      </c>
      <c r="I17" s="39" t="n">
        <f aca="false">SUM(I5:I16)</f>
        <v>1264.268995</v>
      </c>
      <c r="J17" s="39" t="n">
        <f aca="false">SUM(J5:J16)</f>
        <v>1421.23449</v>
      </c>
      <c r="K17" s="42" t="n">
        <f aca="false">IFERROR(I17/J17-1,0)</f>
        <v>-0.110443066295133</v>
      </c>
    </row>
    <row r="18" customFormat="false" ht="15" hidden="false" customHeight="false" outlineLevel="0" collapsed="false">
      <c r="B18" s="21" t="s">
        <v>297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298</v>
      </c>
    </row>
    <row r="21" customFormat="false" ht="15" hidden="false" customHeight="false" outlineLevel="0" collapsed="false">
      <c r="B21" s="2" t="s">
        <v>299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300</v>
      </c>
    </row>
    <row r="24" customFormat="false" ht="15" hidden="false" customHeight="false" outlineLevel="0" collapsed="false">
      <c r="B24" s="2" t="s">
        <v>301</v>
      </c>
    </row>
    <row r="25" customFormat="false" ht="15" hidden="false" customHeight="false" outlineLevel="0" collapsed="false">
      <c r="B25" s="2" t="s">
        <v>302</v>
      </c>
    </row>
    <row r="26" customFormat="false" ht="15" hidden="false" customHeight="false" outlineLevel="0" collapsed="false">
      <c r="B26" s="2" t="s">
        <v>303</v>
      </c>
    </row>
    <row r="27" customFormat="false" ht="15" hidden="false" customHeight="false" outlineLevel="0" collapsed="false">
      <c r="B27" s="2" t="s">
        <v>304</v>
      </c>
    </row>
    <row r="28" customFormat="false" ht="15" hidden="false" customHeight="false" outlineLevel="0" collapsed="false">
      <c r="B28" s="2" t="s">
        <v>305</v>
      </c>
    </row>
    <row r="29" customFormat="false" ht="15" hidden="false" customHeight="false" outlineLevel="0" collapsed="false">
      <c r="B29" s="2" t="s">
        <v>306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307</v>
      </c>
    </row>
    <row r="32" customFormat="false" ht="15" hidden="false" customHeight="false" outlineLevel="0" collapsed="false">
      <c r="B32" s="2" t="s">
        <v>308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309</v>
      </c>
    </row>
    <row r="35" customFormat="false" ht="15" hidden="false" customHeight="false" outlineLevel="0" collapsed="false">
      <c r="B35" s="2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15" hidden="false" customHeight="false" outlineLevel="0" collapsed="false">
      <c r="B4" s="7" t="s">
        <v>313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314</v>
      </c>
      <c r="C5" s="43" t="n">
        <f aca="false">ENTRADAS!C43</f>
        <v>40</v>
      </c>
      <c r="D5" s="2" t="s">
        <v>146</v>
      </c>
      <c r="H5" s="2" t="s">
        <v>315</v>
      </c>
    </row>
    <row r="6" customFormat="false" ht="15" hidden="false" customHeight="false" outlineLevel="0" collapsed="false">
      <c r="B6" s="4" t="s">
        <v>142</v>
      </c>
      <c r="C6" s="44" t="n">
        <f aca="false">ENTRADAS!C42</f>
        <v>17</v>
      </c>
      <c r="D6" s="2" t="s">
        <v>143</v>
      </c>
      <c r="H6" s="2" t="s">
        <v>316</v>
      </c>
    </row>
    <row r="7" customFormat="false" ht="15" hidden="false" customHeight="false" outlineLevel="0" collapsed="false">
      <c r="B7" s="4" t="s">
        <v>317</v>
      </c>
      <c r="C7" s="29" t="n">
        <f aca="false">C5*C6/100</f>
        <v>6.8</v>
      </c>
      <c r="D7" s="2" t="s">
        <v>220</v>
      </c>
      <c r="H7" s="2" t="s">
        <v>318</v>
      </c>
    </row>
    <row r="8" customFormat="false" ht="15" hidden="false" customHeight="false" outlineLevel="0" collapsed="false">
      <c r="B8" s="4" t="s">
        <v>148</v>
      </c>
      <c r="C8" s="43" t="n">
        <f aca="false">ENTRADAS!C44</f>
        <v>26</v>
      </c>
      <c r="D8" s="2" t="s">
        <v>149</v>
      </c>
      <c r="H8" s="2" t="s">
        <v>150</v>
      </c>
    </row>
    <row r="9" customFormat="false" ht="15" hidden="false" customHeight="false" outlineLevel="0" collapsed="false">
      <c r="B9" s="21" t="s">
        <v>319</v>
      </c>
      <c r="C9" s="45" t="n">
        <f aca="false">C7*C8</f>
        <v>176.8</v>
      </c>
      <c r="D9" s="2" t="s">
        <v>91</v>
      </c>
      <c r="H9" s="2" t="s">
        <v>320</v>
      </c>
    </row>
    <row r="11" customFormat="false" ht="15" hidden="false" customHeight="false" outlineLevel="0" collapsed="false">
      <c r="B11" s="7" t="s">
        <v>321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151</v>
      </c>
      <c r="C12" s="46" t="n">
        <f aca="false">ENTRADAS!C45</f>
        <v>0.86</v>
      </c>
      <c r="D12" s="2"/>
      <c r="H12" s="2" t="s">
        <v>322</v>
      </c>
    </row>
    <row r="13" customFormat="false" ht="15" hidden="false" customHeight="false" outlineLevel="0" collapsed="false">
      <c r="B13" s="21" t="s">
        <v>323</v>
      </c>
      <c r="C13" s="45" t="n">
        <f aca="false">C9/C12</f>
        <v>205.581395348837</v>
      </c>
      <c r="D13" s="2" t="s">
        <v>91</v>
      </c>
      <c r="H13" s="2" t="s">
        <v>324</v>
      </c>
    </row>
    <row r="14" customFormat="false" ht="15" hidden="false" customHeight="false" outlineLevel="0" collapsed="false">
      <c r="B14" s="4" t="s">
        <v>325</v>
      </c>
      <c r="C14" s="12" t="n">
        <f aca="false">C13-C9</f>
        <v>28.7813953488372</v>
      </c>
      <c r="D14" s="2" t="s">
        <v>91</v>
      </c>
      <c r="H14" s="2" t="s">
        <v>326</v>
      </c>
    </row>
    <row r="15" customFormat="false" ht="15" hidden="false" customHeight="false" outlineLevel="0" collapsed="false">
      <c r="B15" s="4" t="s">
        <v>327</v>
      </c>
      <c r="C15" s="15" t="n">
        <f aca="false">C13*ENTRADAS!C18</f>
        <v>209.995227906977</v>
      </c>
      <c r="D15" s="2" t="s">
        <v>111</v>
      </c>
      <c r="H15" s="2" t="s">
        <v>328</v>
      </c>
    </row>
    <row r="16" customFormat="false" ht="15" hidden="false" customHeight="false" outlineLevel="0" collapsed="false">
      <c r="B16" s="4" t="s">
        <v>329</v>
      </c>
      <c r="C16" s="15" t="n">
        <f aca="false">C15*12</f>
        <v>2519.94273488372</v>
      </c>
      <c r="D16" s="2" t="s">
        <v>129</v>
      </c>
      <c r="H16" s="2"/>
    </row>
    <row r="17" customFormat="false" ht="15" hidden="false" customHeight="false" outlineLevel="0" collapsed="false">
      <c r="B17" s="4" t="s">
        <v>330</v>
      </c>
      <c r="C17" s="15" t="n">
        <f aca="false">C13*ENTRADAS!C25</f>
        <v>44.1413681860465</v>
      </c>
      <c r="D17" s="2" t="s">
        <v>111</v>
      </c>
      <c r="H17" s="2" t="s">
        <v>331</v>
      </c>
    </row>
    <row r="18" customFormat="false" ht="15" hidden="false" customHeight="false" outlineLevel="0" collapsed="false">
      <c r="B18" s="21" t="s">
        <v>332</v>
      </c>
      <c r="C18" s="47" t="n">
        <f aca="false">C15-C17</f>
        <v>165.85385972093</v>
      </c>
      <c r="D18" s="2" t="s">
        <v>111</v>
      </c>
      <c r="H18" s="2" t="s">
        <v>333</v>
      </c>
    </row>
    <row r="19" customFormat="false" ht="15" hidden="false" customHeight="false" outlineLevel="0" collapsed="false">
      <c r="B19" s="4" t="s">
        <v>334</v>
      </c>
      <c r="C19" s="15" t="n">
        <f aca="false">C18*12</f>
        <v>1990.24631665116</v>
      </c>
      <c r="D19" s="2" t="s">
        <v>129</v>
      </c>
      <c r="H19" s="2"/>
    </row>
    <row r="20" customFormat="false" ht="15" hidden="false" customHeight="false" outlineLevel="0" collapsed="false">
      <c r="B20" s="4" t="s">
        <v>335</v>
      </c>
      <c r="C20" s="15" t="n">
        <f aca="false">IFERROR(C15/(C5*C8),0)</f>
        <v>0.201918488372093</v>
      </c>
      <c r="D20" s="2" t="s">
        <v>336</v>
      </c>
      <c r="H20" s="2" t="s">
        <v>337</v>
      </c>
    </row>
    <row r="21" customFormat="false" ht="15" hidden="false" customHeight="false" outlineLevel="0" collapsed="false">
      <c r="B21" s="4" t="s">
        <v>338</v>
      </c>
      <c r="C21" s="15" t="n">
        <f aca="false">IFERROR(C17/(C5*C8),0)</f>
        <v>0.042443623255814</v>
      </c>
      <c r="D21" s="2" t="s">
        <v>336</v>
      </c>
      <c r="H21" s="2" t="s">
        <v>339</v>
      </c>
    </row>
    <row r="23" customFormat="false" ht="15" hidden="false" customHeight="false" outlineLevel="0" collapsed="false">
      <c r="B23" s="7" t="s">
        <v>340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341</v>
      </c>
      <c r="C24" s="44" t="n">
        <f aca="false">ENTRADAS!C46</f>
        <v>3.3</v>
      </c>
      <c r="D24" s="2" t="s">
        <v>154</v>
      </c>
      <c r="H24" s="2" t="s">
        <v>342</v>
      </c>
    </row>
    <row r="25" customFormat="false" ht="15" hidden="false" customHeight="false" outlineLevel="0" collapsed="false">
      <c r="B25" s="4" t="s">
        <v>343</v>
      </c>
      <c r="C25" s="29" t="n">
        <f aca="false">IFERROR(C13/C8/C24,0)</f>
        <v>2.39605355884426</v>
      </c>
      <c r="D25" s="2" t="s">
        <v>344</v>
      </c>
      <c r="H25" s="2" t="s">
        <v>345</v>
      </c>
    </row>
    <row r="26" customFormat="false" ht="15" hidden="false" customHeight="false" outlineLevel="0" collapsed="false">
      <c r="B26" s="4" t="s">
        <v>346</v>
      </c>
      <c r="C26" s="29" t="n">
        <f aca="false">IFERROR(ENTRADAS!C41/ENTRADAS!C45/C24,0)</f>
        <v>6.44820295983087</v>
      </c>
      <c r="D26" s="2" t="s">
        <v>347</v>
      </c>
      <c r="H26" s="2" t="s">
        <v>348</v>
      </c>
    </row>
    <row r="27" customFormat="false" ht="15" hidden="false" customHeight="false" outlineLevel="0" collapsed="false">
      <c r="B27" s="4" t="s">
        <v>349</v>
      </c>
      <c r="C27" s="29" t="n">
        <f aca="false">IFERROR(C24*1000/220,0)</f>
        <v>15</v>
      </c>
      <c r="D27" s="2" t="s">
        <v>350</v>
      </c>
      <c r="H27" s="2" t="s">
        <v>351</v>
      </c>
    </row>
    <row r="28" customFormat="false" ht="15" hidden="false" customHeight="false" outlineLevel="0" collapsed="false">
      <c r="B28" s="4" t="s">
        <v>352</v>
      </c>
      <c r="C28" s="29" t="n">
        <f aca="false">IFERROR(C27*1.25,0)</f>
        <v>18.75</v>
      </c>
      <c r="D28" s="2" t="s">
        <v>350</v>
      </c>
      <c r="H28" s="2" t="s">
        <v>353</v>
      </c>
    </row>
    <row r="29" customFormat="false" ht="15" hidden="false" customHeight="false" outlineLevel="0" collapsed="false">
      <c r="B29" s="4" t="s">
        <v>354</v>
      </c>
      <c r="C29" s="29" t="n">
        <f aca="false">C24*1</f>
        <v>3.3</v>
      </c>
      <c r="D29" s="2" t="s">
        <v>140</v>
      </c>
      <c r="H29" s="2" t="s">
        <v>355</v>
      </c>
    </row>
    <row r="31" customFormat="false" ht="15" hidden="false" customHeight="false" outlineLevel="0" collapsed="false">
      <c r="B31" s="7" t="s">
        <v>356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357</v>
      </c>
      <c r="C32" s="17" t="s">
        <v>358</v>
      </c>
      <c r="D32" s="17" t="s">
        <v>359</v>
      </c>
      <c r="E32" s="17" t="s">
        <v>360</v>
      </c>
      <c r="F32" s="17" t="s">
        <v>361</v>
      </c>
      <c r="G32" s="17" t="s">
        <v>362</v>
      </c>
    </row>
    <row r="33" customFormat="false" ht="15" hidden="false" customHeight="false" outlineLevel="0" collapsed="false">
      <c r="B33" s="18" t="s">
        <v>363</v>
      </c>
      <c r="C33" s="32" t="n">
        <f aca="false">CONTA!C23</f>
        <v>381.333333333333</v>
      </c>
      <c r="D33" s="36" t="n">
        <f aca="false">0</f>
        <v>0</v>
      </c>
      <c r="E33" s="36" t="n">
        <f aca="false">0</f>
        <v>0</v>
      </c>
      <c r="F33" s="45" t="n">
        <f aca="false">C33+D33+E33</f>
        <v>381.333333333333</v>
      </c>
      <c r="G33" s="36" t="n">
        <f aca="false">F33*12</f>
        <v>4576</v>
      </c>
    </row>
    <row r="34" customFormat="false" ht="15" hidden="false" customHeight="false" outlineLevel="0" collapsed="false">
      <c r="B34" s="18" t="s">
        <v>364</v>
      </c>
      <c r="C34" s="32" t="n">
        <f aca="false">CONTA!C23</f>
        <v>381.333333333333</v>
      </c>
      <c r="D34" s="36" t="n">
        <f aca="false">C13</f>
        <v>205.581395348837</v>
      </c>
      <c r="E34" s="36" t="n">
        <f aca="false">0</f>
        <v>0</v>
      </c>
      <c r="F34" s="45" t="n">
        <f aca="false">C34+D34+E34</f>
        <v>586.914728682171</v>
      </c>
      <c r="G34" s="36" t="n">
        <f aca="false">F34*12</f>
        <v>7042.97674418605</v>
      </c>
    </row>
    <row r="35" customFormat="false" ht="15" hidden="false" customHeight="false" outlineLevel="0" collapsed="false">
      <c r="B35" s="48" t="s">
        <v>365</v>
      </c>
      <c r="C35" s="32" t="n">
        <f aca="false">CONTA!C23</f>
        <v>381.333333333333</v>
      </c>
      <c r="D35" s="36" t="n">
        <f aca="false">C13</f>
        <v>205.581395348837</v>
      </c>
      <c r="E35" s="36" t="n">
        <f aca="false">(C35+D35)*ENTRADAS!C48</f>
        <v>88.0372093023256</v>
      </c>
      <c r="F35" s="49" t="n">
        <f aca="false">C35+D35+E35</f>
        <v>674.951937984496</v>
      </c>
      <c r="G35" s="36" t="n">
        <f aca="false">F35*12</f>
        <v>8099.42325581395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53.9% - de 381 para 587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(675 kWh/mes) e o que deve orientar o dimensionamento, NAO a media de 381 kWh/mes da conta.</v>
      </c>
    </row>
    <row r="40" customFormat="false" ht="15" hidden="false" customHeight="false" outlineLevel="0" collapsed="false">
      <c r="B40" s="7" t="s">
        <v>366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367</v>
      </c>
      <c r="C41" s="17" t="s">
        <v>368</v>
      </c>
      <c r="D41" s="17" t="s">
        <v>369</v>
      </c>
      <c r="E41" s="17" t="s">
        <v>370</v>
      </c>
      <c r="F41" s="17" t="s">
        <v>371</v>
      </c>
      <c r="G41" s="17" t="s">
        <v>372</v>
      </c>
    </row>
    <row r="42" customFormat="false" ht="57.45" hidden="false" customHeight="false" outlineLevel="0" collapsed="false">
      <c r="B42" s="50" t="s">
        <v>373</v>
      </c>
      <c r="C42" s="51" t="s">
        <v>374</v>
      </c>
      <c r="D42" s="52" t="n">
        <f aca="false">0</f>
        <v>0</v>
      </c>
      <c r="E42" s="53" t="n">
        <f aca="false">0</f>
        <v>0</v>
      </c>
      <c r="F42" s="51" t="s">
        <v>375</v>
      </c>
      <c r="G42" s="51" t="s">
        <v>376</v>
      </c>
    </row>
    <row r="43" customFormat="false" ht="57.45" hidden="false" customHeight="false" outlineLevel="0" collapsed="false">
      <c r="B43" s="50" t="s">
        <v>377</v>
      </c>
      <c r="C43" s="51" t="s">
        <v>378</v>
      </c>
      <c r="D43" s="52" t="n">
        <f aca="false">ENTRADAS!C25</f>
        <v>0.2147148</v>
      </c>
      <c r="E43" s="52" t="n">
        <f aca="false">C13*ENTRADAS!C25</f>
        <v>44.1413681860465</v>
      </c>
      <c r="F43" s="51" t="s">
        <v>379</v>
      </c>
      <c r="G43" s="51" t="s">
        <v>380</v>
      </c>
    </row>
    <row r="44" customFormat="false" ht="15" hidden="false" customHeight="false" outlineLevel="0" collapsed="false">
      <c r="B44" s="50" t="s">
        <v>381</v>
      </c>
      <c r="C44" s="51" t="s">
        <v>382</v>
      </c>
      <c r="D44" s="52" t="n">
        <f aca="false">ENTRADAS!C18</f>
        <v>1.02147</v>
      </c>
      <c r="E44" s="54" t="n">
        <f aca="false">C13*ENTRADAS!C18</f>
        <v>209.995227906977</v>
      </c>
      <c r="F44" s="51" t="s">
        <v>383</v>
      </c>
      <c r="G44" s="51" t="s">
        <v>384</v>
      </c>
    </row>
    <row r="45" customFormat="false" ht="15" hidden="false" customHeight="false" outlineLevel="0" collapsed="false">
      <c r="B45" s="21" t="s">
        <v>385</v>
      </c>
    </row>
    <row r="46" customFormat="false" ht="15" hidden="false" customHeight="false" outlineLevel="0" collapsed="false">
      <c r="C46" s="23" t="n">
        <f aca="false">(E43-E42)*12</f>
        <v>529.696418232558</v>
      </c>
      <c r="D46" s="2" t="s">
        <v>386</v>
      </c>
    </row>
    <row r="47" customFormat="false" ht="15" hidden="false" customHeight="false" outlineLevel="0" collapsed="false">
      <c r="B47" s="4" t="s">
        <v>387</v>
      </c>
    </row>
    <row r="48" customFormat="false" ht="15" hidden="false" customHeight="false" outlineLevel="0" collapsed="false">
      <c r="B48" s="4" t="s">
        <v>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389</v>
      </c>
    </row>
    <row r="2" customFormat="false" ht="15" hidden="false" customHeight="false" outlineLevel="0" collapsed="false">
      <c r="A2" s="2" t="s">
        <v>390</v>
      </c>
    </row>
    <row r="4" customFormat="false" ht="15" hidden="false" customHeight="false" outlineLevel="0" collapsed="false">
      <c r="B4" s="7" t="s">
        <v>391</v>
      </c>
      <c r="C4" s="8"/>
      <c r="D4" s="8"/>
      <c r="E4" s="8"/>
      <c r="F4" s="8"/>
    </row>
    <row r="5" customFormat="false" ht="15" hidden="false" customHeight="false" outlineLevel="0" collapsed="false">
      <c r="B5" s="4" t="s">
        <v>392</v>
      </c>
      <c r="C5" s="43" t="n">
        <f aca="false">GERACAO!I17</f>
        <v>1264.268995</v>
      </c>
      <c r="D5" s="2" t="s">
        <v>393</v>
      </c>
    </row>
    <row r="6" customFormat="false" ht="15" hidden="false" customHeight="false" outlineLevel="0" collapsed="false">
      <c r="B6" s="4" t="s">
        <v>394</v>
      </c>
      <c r="C6" s="29" t="n">
        <f aca="false">C5/12</f>
        <v>105.355749583333</v>
      </c>
      <c r="D6" s="2" t="s">
        <v>395</v>
      </c>
    </row>
    <row r="7" customFormat="false" ht="15" hidden="false" customHeight="false" outlineLevel="0" collapsed="false">
      <c r="B7" s="4" t="s">
        <v>396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397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357</v>
      </c>
      <c r="C10" s="17" t="s">
        <v>398</v>
      </c>
      <c r="D10" s="17" t="s">
        <v>399</v>
      </c>
      <c r="E10" s="17" t="s">
        <v>400</v>
      </c>
      <c r="F10" s="17" t="s">
        <v>401</v>
      </c>
    </row>
    <row r="11" customFormat="false" ht="15" hidden="false" customHeight="false" outlineLevel="0" collapsed="false">
      <c r="B11" s="18" t="s">
        <v>402</v>
      </c>
      <c r="C11" s="32" t="n">
        <f aca="false">BYD!F33</f>
        <v>381.333333333333</v>
      </c>
      <c r="D11" s="36" t="n">
        <f aca="false">C11*12</f>
        <v>4576</v>
      </c>
      <c r="E11" s="19" t="n">
        <f aca="false">IFERROR(D11/$C$5,0)</f>
        <v>3.61948289335372</v>
      </c>
      <c r="F11" s="36" t="n">
        <f aca="false">IFERROR(ROUNDUP(E11*1000/615,0),0)</f>
        <v>6</v>
      </c>
    </row>
    <row r="12" customFormat="false" ht="15" hidden="false" customHeight="false" outlineLevel="0" collapsed="false">
      <c r="B12" s="18" t="s">
        <v>403</v>
      </c>
      <c r="C12" s="32" t="n">
        <f aca="false">BYD!F34</f>
        <v>586.914728682171</v>
      </c>
      <c r="D12" s="36" t="n">
        <f aca="false">C12*12</f>
        <v>7042.97674418605</v>
      </c>
      <c r="E12" s="19" t="n">
        <f aca="false">IFERROR(D12/$C$5,0)</f>
        <v>5.57078973860784</v>
      </c>
      <c r="F12" s="36" t="n">
        <f aca="false">IFERROR(ROUNDUP(E12*1000/615,0),0)</f>
        <v>10</v>
      </c>
    </row>
    <row r="13" customFormat="false" ht="15" hidden="false" customHeight="false" outlineLevel="0" collapsed="false">
      <c r="B13" s="48" t="s">
        <v>404</v>
      </c>
      <c r="C13" s="32" t="n">
        <f aca="false">BYD!F35</f>
        <v>674.951937984496</v>
      </c>
      <c r="D13" s="36" t="n">
        <f aca="false">C13*12</f>
        <v>8099.42325581395</v>
      </c>
      <c r="E13" s="55" t="n">
        <f aca="false">IFERROR(D13/$C$5,0)</f>
        <v>6.40640819939902</v>
      </c>
      <c r="F13" s="36" t="n">
        <f aca="false">IFERROR(ROUNDUP(E13*1000/615,0),0)</f>
        <v>11</v>
      </c>
    </row>
    <row r="15" customFormat="false" ht="15" hidden="false" customHeight="false" outlineLevel="0" collapsed="false">
      <c r="B15" s="7" t="s">
        <v>405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406</v>
      </c>
      <c r="D16" s="17" t="s">
        <v>407</v>
      </c>
      <c r="E16" s="17" t="s">
        <v>408</v>
      </c>
    </row>
    <row r="17" customFormat="false" ht="23.85" hidden="false" customHeight="false" outlineLevel="0" collapsed="false">
      <c r="B17" s="4" t="s">
        <v>409</v>
      </c>
      <c r="C17" s="56" t="str">
        <f aca="false">"100% do Cenario 2"</f>
        <v>100% do Cenario 2</v>
      </c>
      <c r="D17" s="56" t="str">
        <f aca="false">"105% do Cenario 3"</f>
        <v>105% do Cenario 3</v>
      </c>
      <c r="E17" s="56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410</v>
      </c>
      <c r="C18" s="57" t="n">
        <f aca="false">E12</f>
        <v>5.57078973860784</v>
      </c>
      <c r="D18" s="57" t="n">
        <f aca="false">E13*1.05</f>
        <v>6.72672860936897</v>
      </c>
      <c r="E18" s="57" t="n">
        <f aca="false">E13*1.25</f>
        <v>8.00801024924877</v>
      </c>
    </row>
    <row r="19" customFormat="false" ht="15" hidden="false" customHeight="false" outlineLevel="0" collapsed="false">
      <c r="B19" s="4" t="s">
        <v>411</v>
      </c>
      <c r="C19" s="58" t="n">
        <f aca="false">ROUNDUP(C18*1000/615,0)</f>
        <v>10</v>
      </c>
      <c r="D19" s="58" t="n">
        <f aca="false">ROUNDUP(D18*1000/615,0)</f>
        <v>11</v>
      </c>
      <c r="E19" s="58" t="n">
        <f aca="false">ROUNDUP(E18*1000/615,0)</f>
        <v>14</v>
      </c>
    </row>
    <row r="20" customFormat="false" ht="15" hidden="false" customHeight="false" outlineLevel="0" collapsed="false">
      <c r="B20" s="4" t="s">
        <v>412</v>
      </c>
      <c r="C20" s="59" t="n">
        <f aca="false">C19*615/1000</f>
        <v>6.15</v>
      </c>
      <c r="D20" s="59" t="n">
        <f aca="false">D19*615/1000</f>
        <v>6.765</v>
      </c>
      <c r="E20" s="59" t="n">
        <f aca="false">E19*615/1000</f>
        <v>8.61</v>
      </c>
    </row>
    <row r="21" customFormat="false" ht="15" hidden="false" customHeight="false" outlineLevel="0" collapsed="false">
      <c r="B21" s="4" t="s">
        <v>413</v>
      </c>
      <c r="C21" s="57" t="n">
        <f aca="false">5</f>
        <v>5</v>
      </c>
      <c r="D21" s="57" t="n">
        <f aca="false">6</f>
        <v>6</v>
      </c>
      <c r="E21" s="57" t="n">
        <f aca="false">7.5</f>
        <v>7.5</v>
      </c>
    </row>
    <row r="22" customFormat="false" ht="15" hidden="false" customHeight="false" outlineLevel="0" collapsed="false">
      <c r="B22" s="4" t="s">
        <v>414</v>
      </c>
      <c r="C22" s="60" t="n">
        <f aca="false">IFERROR(C20/C21,0)</f>
        <v>1.23</v>
      </c>
      <c r="D22" s="60" t="n">
        <f aca="false">IFERROR(D20/D21,0)</f>
        <v>1.1275</v>
      </c>
      <c r="E22" s="60" t="n">
        <f aca="false">IFERROR(E20/E21,0)</f>
        <v>1.148</v>
      </c>
    </row>
    <row r="23" customFormat="false" ht="15" hidden="false" customHeight="false" outlineLevel="0" collapsed="false">
      <c r="B23" s="4" t="s">
        <v>415</v>
      </c>
      <c r="C23" s="58" t="n">
        <f aca="false">C20*$C$5</f>
        <v>7775.25431925</v>
      </c>
      <c r="D23" s="58" t="n">
        <f aca="false">D20*$C$5</f>
        <v>8552.779751175</v>
      </c>
      <c r="E23" s="58" t="n">
        <f aca="false">E20*$C$5</f>
        <v>10885.35604695</v>
      </c>
    </row>
    <row r="24" customFormat="false" ht="15" hidden="false" customHeight="false" outlineLevel="0" collapsed="false">
      <c r="B24" s="4" t="s">
        <v>416</v>
      </c>
      <c r="C24" s="58" t="n">
        <f aca="false">C23/12</f>
        <v>647.9378599375</v>
      </c>
      <c r="D24" s="58" t="n">
        <f aca="false">D23/12</f>
        <v>712.73164593125</v>
      </c>
      <c r="E24" s="58" t="n">
        <f aca="false">E23/12</f>
        <v>907.1130039125</v>
      </c>
    </row>
    <row r="25" customFormat="false" ht="15" hidden="false" customHeight="false" outlineLevel="0" collapsed="false">
      <c r="B25" s="4" t="s">
        <v>417</v>
      </c>
      <c r="C25" s="61" t="n">
        <f aca="false">IFERROR(C23/$D$12,0)</f>
        <v>1.1039727379007</v>
      </c>
      <c r="D25" s="61" t="n">
        <f aca="false">IFERROR(D23/$D$12,0)</f>
        <v>1.21437001169077</v>
      </c>
      <c r="E25" s="61" t="n">
        <f aca="false">IFERROR(E23/$D$12,0)</f>
        <v>1.54556183306097</v>
      </c>
    </row>
    <row r="26" customFormat="false" ht="15" hidden="false" customHeight="false" outlineLevel="0" collapsed="false">
      <c r="B26" s="4" t="s">
        <v>418</v>
      </c>
      <c r="C26" s="62" t="n">
        <f aca="false">IFERROR(C23/$D$13,0)</f>
        <v>0.959976293826692</v>
      </c>
      <c r="D26" s="63" t="n">
        <f aca="false">IFERROR(D23/$D$13,0)</f>
        <v>1.05597392320936</v>
      </c>
      <c r="E26" s="62" t="n">
        <f aca="false">IFERROR(E23/$D$13,0)</f>
        <v>1.34396681135737</v>
      </c>
    </row>
    <row r="27" customFormat="false" ht="15" hidden="false" customHeight="false" outlineLevel="0" collapsed="false">
      <c r="B27" s="4" t="s">
        <v>419</v>
      </c>
      <c r="C27" s="58" t="n">
        <f aca="false">MAX(0,C23-$D$13)</f>
        <v>0</v>
      </c>
      <c r="D27" s="58" t="n">
        <f aca="false">MAX(0,D23-$D$13)</f>
        <v>453.356495361048</v>
      </c>
      <c r="E27" s="58" t="n">
        <f aca="false">MAX(0,E23-$D$13)</f>
        <v>2785.93279113605</v>
      </c>
    </row>
    <row r="30" customFormat="false" ht="15" hidden="false" customHeight="false" outlineLevel="0" collapsed="false">
      <c r="B30" s="3" t="s">
        <v>420</v>
      </c>
    </row>
    <row r="31" customFormat="false" ht="15" hidden="false" customHeight="false" outlineLevel="0" collapsed="false">
      <c r="B31" s="4" t="s">
        <v>421</v>
      </c>
    </row>
    <row r="32" customFormat="false" ht="15" hidden="false" customHeight="false" outlineLevel="0" collapsed="false">
      <c r="B32" s="4" t="s">
        <v>422</v>
      </c>
    </row>
    <row r="33" customFormat="false" ht="15" hidden="false" customHeight="false" outlineLevel="0" collapsed="false">
      <c r="B33" s="4" t="s">
        <v>423</v>
      </c>
    </row>
    <row r="34" customFormat="false" ht="15" hidden="false" customHeight="false" outlineLevel="0" collapsed="false">
      <c r="B34" s="4" t="s">
        <v>424</v>
      </c>
    </row>
    <row r="35" customFormat="false" ht="15" hidden="false" customHeight="false" outlineLevel="0" collapsed="false">
      <c r="B35" s="4" t="s">
        <v>425</v>
      </c>
    </row>
    <row r="36" customFormat="false" ht="15" hidden="false" customHeight="false" outlineLevel="0" collapsed="false">
      <c r="B36" s="4" t="s">
        <v>426</v>
      </c>
    </row>
    <row r="37" customFormat="false" ht="15" hidden="false" customHeight="false" outlineLevel="0" collapsed="false">
      <c r="B37" s="4" t="s">
        <v>427</v>
      </c>
    </row>
    <row r="38" customFormat="false" ht="15" hidden="false" customHeight="false" outlineLevel="0" collapsed="false">
      <c r="B38" s="4" t="s">
        <v>428</v>
      </c>
    </row>
    <row r="39" customFormat="false" ht="15" hidden="false" customHeight="false" outlineLevel="0" collapsed="false">
      <c r="B39" s="4" t="s">
        <v>429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430</v>
      </c>
    </row>
    <row r="42" customFormat="false" ht="15" hidden="false" customHeight="false" outlineLevel="0" collapsed="false">
      <c r="B42" s="4" t="s">
        <v>431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7" min="3" style="0" width="16"/>
    <col collapsed="false" customWidth="true" hidden="false" outlineLevel="0" max="8" min="8" style="0" width="14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432</v>
      </c>
    </row>
    <row r="2" customFormat="false" ht="15" hidden="false" customHeight="false" outlineLevel="0" collapsed="false">
      <c r="A2" s="2" t="s">
        <v>433</v>
      </c>
    </row>
    <row r="4" customFormat="false" ht="45.75" hidden="false" customHeight="true" outlineLevel="0" collapsed="false">
      <c r="B4" s="17" t="s">
        <v>434</v>
      </c>
      <c r="C4" s="17" t="s">
        <v>435</v>
      </c>
      <c r="D4" s="17" t="s">
        <v>436</v>
      </c>
      <c r="E4" s="17" t="s">
        <v>437</v>
      </c>
      <c r="F4" s="17" t="s">
        <v>438</v>
      </c>
      <c r="G4" s="17" t="s">
        <v>439</v>
      </c>
      <c r="H4" s="17" t="s">
        <v>440</v>
      </c>
      <c r="I4" s="17" t="s">
        <v>441</v>
      </c>
    </row>
    <row r="5" customFormat="false" ht="23.85" hidden="false" customHeight="false" outlineLevel="0" collapsed="false">
      <c r="B5" s="4" t="s">
        <v>442</v>
      </c>
      <c r="C5" s="64" t="s">
        <v>443</v>
      </c>
      <c r="D5" s="64" t="s">
        <v>443</v>
      </c>
      <c r="E5" s="64" t="s">
        <v>444</v>
      </c>
      <c r="F5" s="64" t="s">
        <v>444</v>
      </c>
      <c r="G5" s="64" t="s">
        <v>445</v>
      </c>
      <c r="H5" s="64" t="s">
        <v>446</v>
      </c>
      <c r="I5" s="65" t="s">
        <v>447</v>
      </c>
    </row>
    <row r="6" customFormat="false" ht="23.85" hidden="false" customHeight="false" outlineLevel="0" collapsed="false">
      <c r="B6" s="4" t="s">
        <v>448</v>
      </c>
      <c r="C6" s="64" t="s">
        <v>449</v>
      </c>
      <c r="D6" s="64" t="s">
        <v>450</v>
      </c>
      <c r="E6" s="64" t="s">
        <v>451</v>
      </c>
      <c r="F6" s="64" t="s">
        <v>451</v>
      </c>
      <c r="G6" s="64" t="s">
        <v>452</v>
      </c>
      <c r="H6" s="64" t="s">
        <v>453</v>
      </c>
      <c r="I6" s="65" t="s">
        <v>454</v>
      </c>
    </row>
    <row r="7" customFormat="false" ht="22.35" hidden="false" customHeight="false" outlineLevel="0" collapsed="false">
      <c r="B7" s="21" t="s">
        <v>455</v>
      </c>
      <c r="C7" s="66" t="s">
        <v>456</v>
      </c>
      <c r="D7" s="66" t="s">
        <v>456</v>
      </c>
      <c r="E7" s="66" t="s">
        <v>457</v>
      </c>
      <c r="F7" s="66" t="s">
        <v>457</v>
      </c>
      <c r="G7" s="66" t="s">
        <v>457</v>
      </c>
      <c r="H7" s="66" t="s">
        <v>458</v>
      </c>
      <c r="I7" s="65" t="s">
        <v>459</v>
      </c>
    </row>
    <row r="8" customFormat="false" ht="15" hidden="false" customHeight="false" outlineLevel="0" collapsed="false">
      <c r="B8" s="4" t="s">
        <v>460</v>
      </c>
      <c r="C8" s="67" t="n">
        <v>12</v>
      </c>
      <c r="D8" s="67" t="n">
        <v>12</v>
      </c>
      <c r="E8" s="67" t="n">
        <v>10</v>
      </c>
      <c r="F8" s="67" t="n">
        <v>10</v>
      </c>
      <c r="G8" s="67" t="n">
        <v>10</v>
      </c>
      <c r="H8" s="67"/>
      <c r="I8" s="68" t="s">
        <v>461</v>
      </c>
    </row>
    <row r="9" customFormat="false" ht="19.4" hidden="false" customHeight="false" outlineLevel="0" collapsed="false">
      <c r="B9" s="4" t="s">
        <v>462</v>
      </c>
      <c r="C9" s="67" t="n">
        <v>615</v>
      </c>
      <c r="D9" s="67" t="n">
        <v>605</v>
      </c>
      <c r="E9" s="67" t="n">
        <v>620</v>
      </c>
      <c r="F9" s="67" t="n">
        <v>620</v>
      </c>
      <c r="G9" s="67" t="n">
        <v>535</v>
      </c>
      <c r="H9" s="67"/>
      <c r="I9" s="68" t="s">
        <v>463</v>
      </c>
    </row>
    <row r="10" customFormat="false" ht="32.8" hidden="false" customHeight="false" outlineLevel="0" collapsed="false">
      <c r="B10" s="4" t="s">
        <v>464</v>
      </c>
      <c r="C10" s="64" t="s">
        <v>465</v>
      </c>
      <c r="D10" s="64" t="s">
        <v>466</v>
      </c>
      <c r="E10" s="64" t="s">
        <v>467</v>
      </c>
      <c r="F10" s="64" t="s">
        <v>467</v>
      </c>
      <c r="G10" s="64" t="s">
        <v>468</v>
      </c>
      <c r="H10" s="64"/>
      <c r="I10" s="65" t="s">
        <v>469</v>
      </c>
    </row>
    <row r="11" customFormat="false" ht="15" hidden="false" customHeight="false" outlineLevel="0" collapsed="false">
      <c r="B11" s="21" t="s">
        <v>470</v>
      </c>
      <c r="C11" s="69" t="n">
        <f aca="false">C8*C9/1000</f>
        <v>7.38</v>
      </c>
      <c r="D11" s="69" t="n">
        <f aca="false">D8*D9/1000</f>
        <v>7.26</v>
      </c>
      <c r="E11" s="69" t="n">
        <f aca="false">E8*E9/1000</f>
        <v>6.2</v>
      </c>
      <c r="F11" s="69" t="n">
        <f aca="false">F8*F9/1000</f>
        <v>6.2</v>
      </c>
      <c r="G11" s="69" t="n">
        <f aca="false">G8*G9/1000</f>
        <v>5.35</v>
      </c>
      <c r="H11" s="69"/>
      <c r="I11" s="68" t="s">
        <v>471</v>
      </c>
    </row>
    <row r="12" customFormat="false" ht="23.85" hidden="false" customHeight="false" outlineLevel="0" collapsed="false">
      <c r="B12" s="4" t="s">
        <v>472</v>
      </c>
      <c r="C12" s="64" t="s">
        <v>473</v>
      </c>
      <c r="D12" s="64" t="s">
        <v>473</v>
      </c>
      <c r="E12" s="64" t="s">
        <v>474</v>
      </c>
      <c r="F12" s="64" t="s">
        <v>475</v>
      </c>
      <c r="G12" s="64" t="s">
        <v>476</v>
      </c>
      <c r="H12" s="64"/>
      <c r="I12" s="65" t="s">
        <v>477</v>
      </c>
    </row>
    <row r="13" customFormat="false" ht="15" hidden="false" customHeight="false" outlineLevel="0" collapsed="false">
      <c r="B13" s="4" t="s">
        <v>478</v>
      </c>
      <c r="C13" s="70" t="n">
        <v>6</v>
      </c>
      <c r="D13" s="70" t="n">
        <v>6</v>
      </c>
      <c r="E13" s="70" t="n">
        <v>5</v>
      </c>
      <c r="F13" s="70" t="n">
        <v>5</v>
      </c>
      <c r="G13" s="70" t="n">
        <v>4</v>
      </c>
      <c r="H13" s="70"/>
      <c r="I13" s="68" t="s">
        <v>479</v>
      </c>
    </row>
    <row r="14" customFormat="false" ht="15" hidden="false" customHeight="false" outlineLevel="0" collapsed="false">
      <c r="B14" s="4" t="s">
        <v>414</v>
      </c>
      <c r="C14" s="71" t="n">
        <f aca="false">IFERROR(C11/C13,0)</f>
        <v>1.23</v>
      </c>
      <c r="D14" s="71" t="n">
        <f aca="false">IFERROR(D11/D13,0)</f>
        <v>1.21</v>
      </c>
      <c r="E14" s="71" t="n">
        <f aca="false">IFERROR(E11/E13,0)</f>
        <v>1.24</v>
      </c>
      <c r="F14" s="71" t="n">
        <f aca="false">IFERROR(F11/F13,0)</f>
        <v>1.24</v>
      </c>
      <c r="G14" s="71" t="n">
        <f aca="false">IFERROR(G11/G13,0)</f>
        <v>1.3375</v>
      </c>
      <c r="H14" s="71"/>
      <c r="I14" s="68" t="s">
        <v>480</v>
      </c>
    </row>
    <row r="15" customFormat="false" ht="22.35" hidden="false" customHeight="false" outlineLevel="0" collapsed="false">
      <c r="B15" s="4" t="s">
        <v>481</v>
      </c>
      <c r="C15" s="72" t="s">
        <v>482</v>
      </c>
      <c r="D15" s="72" t="s">
        <v>482</v>
      </c>
      <c r="E15" s="72" t="s">
        <v>483</v>
      </c>
      <c r="F15" s="72" t="s">
        <v>483</v>
      </c>
      <c r="G15" s="72" t="s">
        <v>482</v>
      </c>
      <c r="H15" s="72"/>
      <c r="I15" s="65" t="s">
        <v>484</v>
      </c>
    </row>
    <row r="17" customFormat="false" ht="15" hidden="false" customHeight="false" outlineLevel="0" collapsed="false">
      <c r="B17" s="7" t="s">
        <v>485</v>
      </c>
      <c r="C17" s="8"/>
      <c r="D17" s="8"/>
      <c r="E17" s="8"/>
      <c r="F17" s="8"/>
      <c r="G17" s="8"/>
      <c r="H17" s="8"/>
      <c r="I17" s="8"/>
    </row>
    <row r="18" customFormat="false" ht="28.35" hidden="false" customHeight="false" outlineLevel="0" collapsed="false">
      <c r="B18" s="4" t="s">
        <v>486</v>
      </c>
      <c r="C18" s="73" t="n">
        <v>18228.7</v>
      </c>
      <c r="D18" s="73" t="n">
        <v>17307.9</v>
      </c>
      <c r="E18" s="73" t="n">
        <v>14220.34</v>
      </c>
      <c r="F18" s="73" t="n">
        <v>15220.34</v>
      </c>
      <c r="G18" s="73" t="n">
        <v>11158.91</v>
      </c>
      <c r="H18" s="73"/>
      <c r="I18" s="68" t="s">
        <v>487</v>
      </c>
    </row>
    <row r="19" customFormat="false" ht="32.8" hidden="false" customHeight="false" outlineLevel="0" collapsed="false">
      <c r="B19" s="4" t="s">
        <v>488</v>
      </c>
      <c r="C19" s="73" t="n">
        <v>0</v>
      </c>
      <c r="D19" s="73" t="n">
        <v>0</v>
      </c>
      <c r="E19" s="73" t="n">
        <v>1800</v>
      </c>
      <c r="F19" s="73" t="n">
        <v>1800</v>
      </c>
      <c r="G19" s="73" t="n">
        <v>0</v>
      </c>
      <c r="H19" s="73"/>
      <c r="I19" s="65" t="s">
        <v>489</v>
      </c>
    </row>
    <row r="20" customFormat="false" ht="28.35" hidden="false" customHeight="false" outlineLevel="0" collapsed="false">
      <c r="B20" s="4" t="s">
        <v>490</v>
      </c>
      <c r="C20" s="73" t="n">
        <v>790</v>
      </c>
      <c r="D20" s="73" t="n">
        <v>790</v>
      </c>
      <c r="E20" s="73" t="n">
        <v>0</v>
      </c>
      <c r="F20" s="73" t="n">
        <v>0</v>
      </c>
      <c r="G20" s="73" t="n">
        <v>790</v>
      </c>
      <c r="H20" s="73"/>
      <c r="I20" s="68" t="s">
        <v>491</v>
      </c>
    </row>
    <row r="21" customFormat="false" ht="32.8" hidden="false" customHeight="false" outlineLevel="0" collapsed="false">
      <c r="B21" s="4" t="s">
        <v>492</v>
      </c>
      <c r="C21" s="74" t="n">
        <f aca="false">6900/10*C8</f>
        <v>8280</v>
      </c>
      <c r="D21" s="74" t="n">
        <f aca="false">6900/10*D8</f>
        <v>8280</v>
      </c>
      <c r="E21" s="73" t="n">
        <v>0</v>
      </c>
      <c r="F21" s="73" t="n">
        <v>0</v>
      </c>
      <c r="G21" s="73" t="n">
        <v>6900</v>
      </c>
      <c r="H21" s="73"/>
      <c r="I21" s="65" t="s">
        <v>493</v>
      </c>
    </row>
    <row r="22" customFormat="false" ht="22.35" hidden="false" customHeight="false" outlineLevel="0" collapsed="false">
      <c r="B22" s="4" t="s">
        <v>494</v>
      </c>
      <c r="C22" s="74" t="n">
        <f aca="false">ENTRADAS!$C$28</f>
        <v>2500</v>
      </c>
      <c r="D22" s="74" t="n">
        <f aca="false">ENTRADAS!$C$28</f>
        <v>2500</v>
      </c>
      <c r="E22" s="74" t="n">
        <f aca="false">ENTRADAS!$C$28</f>
        <v>2500</v>
      </c>
      <c r="F22" s="74" t="n">
        <f aca="false">ENTRADAS!$C$28</f>
        <v>2500</v>
      </c>
      <c r="G22" s="74" t="n">
        <f aca="false">ENTRADAS!$C$28</f>
        <v>2500</v>
      </c>
      <c r="H22" s="74"/>
      <c r="I22" s="65" t="s">
        <v>495</v>
      </c>
    </row>
    <row r="23" customFormat="false" ht="15" hidden="false" customHeight="false" outlineLevel="0" collapsed="false">
      <c r="B23" s="21" t="s">
        <v>496</v>
      </c>
      <c r="C23" s="75" t="n">
        <f aca="false">SUM(C18:C22)</f>
        <v>29798.7</v>
      </c>
      <c r="D23" s="75" t="n">
        <f aca="false">SUM(D18:D22)</f>
        <v>28877.9</v>
      </c>
      <c r="E23" s="75" t="n">
        <f aca="false">SUM(E18:E22)</f>
        <v>18520.34</v>
      </c>
      <c r="F23" s="75" t="n">
        <f aca="false">SUM(F18:F22)</f>
        <v>19520.34</v>
      </c>
      <c r="G23" s="75" t="n">
        <f aca="false">SUM(G18:G22)</f>
        <v>21348.91</v>
      </c>
      <c r="H23" s="75"/>
      <c r="I23" s="68" t="s">
        <v>497</v>
      </c>
    </row>
    <row r="24" customFormat="false" ht="15" hidden="false" customHeight="false" outlineLevel="0" collapsed="false">
      <c r="B24" s="21" t="s">
        <v>498</v>
      </c>
      <c r="C24" s="76" t="n">
        <f aca="false">IFERROR(C23/(C11*1000),0)</f>
        <v>4.03776422764228</v>
      </c>
      <c r="D24" s="76" t="n">
        <f aca="false">IFERROR(D23/(D11*1000),0)</f>
        <v>3.97767217630854</v>
      </c>
      <c r="E24" s="76" t="n">
        <f aca="false">IFERROR(E23/(E11*1000),0)</f>
        <v>2.98715161290323</v>
      </c>
      <c r="F24" s="76" t="n">
        <f aca="false">IFERROR(F23/(F11*1000),0)</f>
        <v>3.14844193548387</v>
      </c>
      <c r="G24" s="76" t="n">
        <f aca="false">IFERROR(G23/(G11*1000),0)</f>
        <v>3.99045046728972</v>
      </c>
      <c r="H24" s="76"/>
      <c r="I24" s="68" t="s">
        <v>499</v>
      </c>
    </row>
    <row r="25" customFormat="false" ht="19.4" hidden="false" customHeight="false" outlineLevel="0" collapsed="false">
      <c r="B25" s="4" t="s">
        <v>500</v>
      </c>
      <c r="C25" s="77" t="n">
        <f aca="false">IFERROR(C18/(C11*1000),0)</f>
        <v>2.4700135501355</v>
      </c>
      <c r="D25" s="77" t="n">
        <f aca="false">IFERROR(D18/(D11*1000),0)</f>
        <v>2.38400826446281</v>
      </c>
      <c r="E25" s="77" t="s">
        <v>501</v>
      </c>
      <c r="F25" s="77" t="s">
        <v>501</v>
      </c>
      <c r="G25" s="77" t="n">
        <f aca="false">IFERROR(G18/(G11*1000),0)</f>
        <v>2.08577757009346</v>
      </c>
      <c r="H25" s="77"/>
      <c r="I25" s="68" t="s">
        <v>502</v>
      </c>
    </row>
    <row r="27" customFormat="false" ht="15" hidden="false" customHeight="false" outlineLevel="0" collapsed="false">
      <c r="B27" s="7" t="s">
        <v>503</v>
      </c>
      <c r="C27" s="8"/>
      <c r="D27" s="8"/>
      <c r="E27" s="8"/>
      <c r="F27" s="8"/>
      <c r="G27" s="8"/>
      <c r="H27" s="8"/>
      <c r="I27" s="8"/>
    </row>
    <row r="28" customFormat="false" ht="15" hidden="false" customHeight="false" outlineLevel="0" collapsed="false">
      <c r="B28" s="4" t="s">
        <v>504</v>
      </c>
      <c r="C28" s="78" t="n">
        <f aca="false">C11*GERACAO!$I$17</f>
        <v>9330.3051831</v>
      </c>
      <c r="D28" s="78" t="n">
        <f aca="false">D11*GERACAO!$I$17</f>
        <v>9178.5929037</v>
      </c>
      <c r="E28" s="78" t="n">
        <f aca="false">E11*GERACAO!$I$17</f>
        <v>7838.467769</v>
      </c>
      <c r="F28" s="78" t="n">
        <f aca="false">F11*GERACAO!$I$17</f>
        <v>7838.467769</v>
      </c>
      <c r="G28" s="78" t="n">
        <f aca="false">G11*GERACAO!$I$17</f>
        <v>6763.83912325</v>
      </c>
      <c r="H28" s="78"/>
      <c r="I28" s="68" t="s">
        <v>505</v>
      </c>
    </row>
    <row r="29" customFormat="false" ht="15" hidden="false" customHeight="false" outlineLevel="0" collapsed="false">
      <c r="B29" s="4" t="s">
        <v>506</v>
      </c>
      <c r="C29" s="78" t="n">
        <f aca="false">C28/12</f>
        <v>777.525431925</v>
      </c>
      <c r="D29" s="78" t="n">
        <f aca="false">D28/12</f>
        <v>764.882741975</v>
      </c>
      <c r="E29" s="78" t="n">
        <f aca="false">E28/12</f>
        <v>653.205647416667</v>
      </c>
      <c r="F29" s="78" t="n">
        <f aca="false">F28/12</f>
        <v>653.205647416667</v>
      </c>
      <c r="G29" s="78" t="n">
        <f aca="false">G28/12</f>
        <v>563.653260270833</v>
      </c>
      <c r="H29" s="78"/>
      <c r="I29" s="68"/>
    </row>
    <row r="30" customFormat="false" ht="15" hidden="false" customHeight="false" outlineLevel="0" collapsed="false">
      <c r="B30" s="4" t="s">
        <v>507</v>
      </c>
      <c r="C30" s="78" t="n">
        <f aca="false">C28/ENTRADAS!$C$31*ENTRADAS!$C$32</f>
        <v>8503.5692808</v>
      </c>
      <c r="D30" s="78" t="n">
        <f aca="false">D28/ENTRADAS!$C$31*ENTRADAS!$C$32</f>
        <v>8365.2998616</v>
      </c>
      <c r="E30" s="78" t="n">
        <f aca="false">E28/ENTRADAS!$C$31*ENTRADAS!$C$32</f>
        <v>7143.919992</v>
      </c>
      <c r="F30" s="78" t="n">
        <f aca="false">F28/ENTRADAS!$C$31*ENTRADAS!$C$32</f>
        <v>7143.919992</v>
      </c>
      <c r="G30" s="78" t="n">
        <f aca="false">G28/ENTRADAS!$C$31*ENTRADAS!$C$32</f>
        <v>6164.511606</v>
      </c>
      <c r="H30" s="78"/>
      <c r="I30" s="68" t="s">
        <v>508</v>
      </c>
    </row>
    <row r="31" customFormat="false" ht="19.4" hidden="false" customHeight="false" outlineLevel="0" collapsed="false">
      <c r="B31" s="4" t="s">
        <v>509</v>
      </c>
      <c r="C31" s="67" t="n">
        <v>10554</v>
      </c>
      <c r="D31" s="67" t="n">
        <v>0</v>
      </c>
      <c r="E31" s="67" t="n">
        <v>8400</v>
      </c>
      <c r="F31" s="67" t="n">
        <v>8400</v>
      </c>
      <c r="G31" s="67" t="n">
        <v>6151</v>
      </c>
      <c r="H31" s="67"/>
      <c r="I31" s="68" t="s">
        <v>510</v>
      </c>
    </row>
    <row r="32" customFormat="false" ht="22.35" hidden="false" customHeight="false" outlineLevel="0" collapsed="false">
      <c r="B32" s="21" t="s">
        <v>511</v>
      </c>
      <c r="C32" s="79" t="n">
        <f aca="false">IFERROR(C28/C31-1,0)</f>
        <v>-0.115946069442865</v>
      </c>
      <c r="D32" s="79" t="n">
        <f aca="false">IFERROR(D28/D31-1,0)</f>
        <v>0</v>
      </c>
      <c r="E32" s="79" t="n">
        <f aca="false">IFERROR(E28/E31-1,0)</f>
        <v>-0.0668490751190475</v>
      </c>
      <c r="F32" s="79" t="n">
        <f aca="false">IFERROR(F28/F31-1,0)</f>
        <v>-0.0668490751190475</v>
      </c>
      <c r="G32" s="79" t="n">
        <f aca="false">IFERROR(G28/G31-1,0)</f>
        <v>0.0996324375304829</v>
      </c>
      <c r="H32" s="79"/>
      <c r="I32" s="65" t="s">
        <v>512</v>
      </c>
    </row>
    <row r="33" customFormat="false" ht="15" hidden="false" customHeight="false" outlineLevel="0" collapsed="false">
      <c r="B33" s="4" t="s">
        <v>513</v>
      </c>
      <c r="C33" s="78" t="n">
        <f aca="false">C11*GERACAO!$J$17</f>
        <v>10488.7105362</v>
      </c>
      <c r="D33" s="78" t="n">
        <f aca="false">D11*GERACAO!$J$17</f>
        <v>10318.1623974</v>
      </c>
      <c r="E33" s="78" t="n">
        <f aca="false">E11*GERACAO!$J$17</f>
        <v>8811.653838</v>
      </c>
      <c r="F33" s="78" t="n">
        <f aca="false">F11*GERACAO!$J$17</f>
        <v>8811.653838</v>
      </c>
      <c r="G33" s="78" t="n">
        <f aca="false">G11*GERACAO!$J$17</f>
        <v>7603.6045215</v>
      </c>
      <c r="H33" s="78"/>
      <c r="I33" s="68" t="s">
        <v>514</v>
      </c>
    </row>
    <row r="35" customFormat="false" ht="15" hidden="false" customHeight="false" outlineLevel="0" collapsed="false">
      <c r="B35" s="7" t="s">
        <v>515</v>
      </c>
      <c r="C35" s="8"/>
      <c r="D35" s="8"/>
      <c r="E35" s="8"/>
      <c r="F35" s="8"/>
      <c r="G35" s="8"/>
      <c r="H35" s="8"/>
      <c r="I35" s="8"/>
    </row>
    <row r="36" customFormat="false" ht="19.4" hidden="false" customHeight="false" outlineLevel="0" collapsed="false">
      <c r="B36" s="4" t="s">
        <v>516</v>
      </c>
      <c r="C36" s="80" t="n">
        <f aca="false">IFERROR(C28/(BYD!$F$33*12),0)</f>
        <v>2.03896529350962</v>
      </c>
      <c r="D36" s="80" t="n">
        <f aca="false">IFERROR(D28/(BYD!$F$33*12),0)</f>
        <v>2.00581138629808</v>
      </c>
      <c r="E36" s="80" t="n">
        <f aca="false">IFERROR(E28/(BYD!$F$33*12),0)</f>
        <v>1.71295187259615</v>
      </c>
      <c r="F36" s="80" t="n">
        <f aca="false">IFERROR(F28/(BYD!$F$33*12),0)</f>
        <v>1.71295187259615</v>
      </c>
      <c r="G36" s="80" t="n">
        <f aca="false">IFERROR(G28/(BYD!$F$33*12),0)</f>
        <v>1.47811169651442</v>
      </c>
      <c r="H36" s="80"/>
      <c r="I36" s="68" t="s">
        <v>517</v>
      </c>
    </row>
    <row r="37" customFormat="false" ht="15" hidden="false" customHeight="false" outlineLevel="0" collapsed="false">
      <c r="B37" s="4" t="s">
        <v>518</v>
      </c>
      <c r="C37" s="80" t="n">
        <f aca="false">IFERROR(C28/(BYD!$F$34*12),0)</f>
        <v>1.32476728548084</v>
      </c>
      <c r="D37" s="80" t="n">
        <f aca="false">IFERROR(D28/(BYD!$F$34*12),0)</f>
        <v>1.3032263540096</v>
      </c>
      <c r="E37" s="80" t="n">
        <f aca="false">IFERROR(E28/(BYD!$F$34*12),0)</f>
        <v>1.11294812601371</v>
      </c>
      <c r="F37" s="80" t="n">
        <f aca="false">IFERROR(F28/(BYD!$F$34*12),0)</f>
        <v>1.11294812601371</v>
      </c>
      <c r="G37" s="80" t="n">
        <f aca="false">IFERROR(G28/(BYD!$F$34*12),0)</f>
        <v>0.960366528092475</v>
      </c>
      <c r="H37" s="80"/>
      <c r="I37" s="68"/>
    </row>
    <row r="38" customFormat="false" ht="19.4" hidden="false" customHeight="false" outlineLevel="0" collapsed="false">
      <c r="B38" s="21" t="s">
        <v>519</v>
      </c>
      <c r="C38" s="81" t="n">
        <f aca="false">IFERROR(C28/(BYD!$F$35*12),0)</f>
        <v>1.15197155259203</v>
      </c>
      <c r="D38" s="81" t="n">
        <f aca="false">IFERROR(D28/(BYD!$F$35*12),0)</f>
        <v>1.13324030783444</v>
      </c>
      <c r="E38" s="81" t="n">
        <f aca="false">IFERROR(E28/(BYD!$F$35*12),0)</f>
        <v>0.967780979142357</v>
      </c>
      <c r="F38" s="81" t="n">
        <f aca="false">IFERROR(F28/(BYD!$F$35*12),0)</f>
        <v>0.967780979142357</v>
      </c>
      <c r="G38" s="81" t="n">
        <f aca="false">IFERROR(G28/(BYD!$F$35*12),0)</f>
        <v>0.835101328776066</v>
      </c>
      <c r="H38" s="81"/>
      <c r="I38" s="68" t="s">
        <v>520</v>
      </c>
    </row>
    <row r="39" customFormat="false" ht="19.4" hidden="false" customHeight="false" outlineLevel="0" collapsed="false">
      <c r="B39" s="4" t="s">
        <v>521</v>
      </c>
      <c r="C39" s="78" t="n">
        <f aca="false">C28-BYD!$G$35</f>
        <v>1230.88192728605</v>
      </c>
      <c r="D39" s="78" t="n">
        <f aca="false">D28-BYD!$G$35</f>
        <v>1079.16964788605</v>
      </c>
      <c r="E39" s="78" t="n">
        <f aca="false">E28-BYD!$G$35</f>
        <v>-260.955486813953</v>
      </c>
      <c r="F39" s="78" t="n">
        <f aca="false">F28-BYD!$G$35</f>
        <v>-260.955486813953</v>
      </c>
      <c r="G39" s="78" t="n">
        <f aca="false">G28-BYD!$G$35</f>
        <v>-1335.58413256395</v>
      </c>
      <c r="H39" s="78"/>
      <c r="I39" s="68" t="s">
        <v>522</v>
      </c>
    </row>
    <row r="40" customFormat="false" ht="15" hidden="false" customHeight="false" outlineLevel="0" collapsed="false">
      <c r="B40" s="21" t="s">
        <v>523</v>
      </c>
      <c r="C40" s="82" t="n">
        <f aca="false">IFERROR(ROUNDUP(MAX(0,(BYD!$G$35-C28))/GERACAO!$I$17*1000/C9,0),0)</f>
        <v>0</v>
      </c>
      <c r="D40" s="82" t="n">
        <f aca="false">IFERROR(ROUNDUP(MAX(0,(BYD!$G$35-D28))/GERACAO!$I$17*1000/D9,0),0)</f>
        <v>0</v>
      </c>
      <c r="E40" s="82" t="n">
        <f aca="false">IFERROR(ROUNDUP(MAX(0,(BYD!$G$35-E28))/GERACAO!$I$17*1000/E9,0),0)</f>
        <v>1</v>
      </c>
      <c r="F40" s="82" t="n">
        <f aca="false">IFERROR(ROUNDUP(MAX(0,(BYD!$G$35-F28))/GERACAO!$I$17*1000/F9,0),0)</f>
        <v>1</v>
      </c>
      <c r="G40" s="82" t="n">
        <f aca="false">IFERROR(ROUNDUP(MAX(0,(BYD!$G$35-G28))/GERACAO!$I$17*1000/G9,0),0)</f>
        <v>2</v>
      </c>
      <c r="H40" s="82"/>
      <c r="I40" s="68"/>
    </row>
    <row r="41" customFormat="false" ht="15" hidden="false" customHeight="false" outlineLevel="0" collapsed="false">
      <c r="B41" s="21" t="s">
        <v>524</v>
      </c>
      <c r="C41" s="83" t="n">
        <f aca="false">IFERROR(ROUNDUP(BYD!$C$13*12/GERACAO!$I$17*1000/C9,0),0)</f>
        <v>4</v>
      </c>
      <c r="D41" s="83" t="n">
        <f aca="false">IFERROR(ROUNDUP(BYD!$C$13*12/GERACAO!$I$17*1000/D9,0),0)</f>
        <v>4</v>
      </c>
      <c r="E41" s="83" t="n">
        <f aca="false">IFERROR(ROUNDUP(BYD!$C$13*12/GERACAO!$I$17*1000/E9,0),0)</f>
        <v>4</v>
      </c>
      <c r="F41" s="83" t="n">
        <f aca="false">IFERROR(ROUNDUP(BYD!$C$13*12/GERACAO!$I$17*1000/F9,0),0)</f>
        <v>4</v>
      </c>
      <c r="G41" s="83" t="n">
        <f aca="false">IFERROR(ROUNDUP(BYD!$C$13*12/GERACAO!$I$17*1000/G9,0),0)</f>
        <v>4</v>
      </c>
      <c r="H41" s="83"/>
      <c r="I41" s="68" t="s">
        <v>525</v>
      </c>
    </row>
    <row r="43" customFormat="false" ht="15" hidden="false" customHeight="false" outlineLevel="0" collapsed="false">
      <c r="B43" s="7" t="s">
        <v>526</v>
      </c>
      <c r="C43" s="8"/>
      <c r="D43" s="8"/>
      <c r="E43" s="8"/>
      <c r="F43" s="8"/>
      <c r="G43" s="8"/>
      <c r="H43" s="8"/>
      <c r="I43" s="8"/>
    </row>
    <row r="44" customFormat="false" ht="15" hidden="false" customHeight="false" outlineLevel="0" collapsed="false">
      <c r="B44" s="4" t="s">
        <v>527</v>
      </c>
      <c r="C44" s="74" t="n">
        <f aca="false">CONTA!$C$54</f>
        <v>410.62787654321</v>
      </c>
      <c r="D44" s="74" t="n">
        <f aca="false">CONTA!$C$54</f>
        <v>410.62787654321</v>
      </c>
      <c r="E44" s="74" t="n">
        <f aca="false">CONTA!$C$54</f>
        <v>410.62787654321</v>
      </c>
      <c r="F44" s="74" t="n">
        <f aca="false">CONTA!$C$54</f>
        <v>410.62787654321</v>
      </c>
      <c r="G44" s="74" t="n">
        <f aca="false">CONTA!$C$54</f>
        <v>410.62787654321</v>
      </c>
      <c r="H44" s="74"/>
      <c r="I44" s="68" t="s">
        <v>528</v>
      </c>
    </row>
    <row r="45" customFormat="false" ht="15" hidden="false" customHeight="false" outlineLevel="0" collapsed="false">
      <c r="B45" s="4" t="s">
        <v>529</v>
      </c>
      <c r="C45" s="74" t="n">
        <f aca="false">ECONOMIA!C8/12</f>
        <v>710.553156093023</v>
      </c>
      <c r="D45" s="74" t="n">
        <f aca="false">ECONOMIA!D8/12</f>
        <v>710.553156093023</v>
      </c>
      <c r="E45" s="74" t="n">
        <f aca="false">ECONOMIA!E8/12</f>
        <v>710.553156093023</v>
      </c>
      <c r="F45" s="74" t="n">
        <f aca="false">ECONOMIA!F8/12</f>
        <v>710.553156093023</v>
      </c>
      <c r="G45" s="74" t="n">
        <f aca="false">ECONOMIA!G8/12</f>
        <v>710.553156093023</v>
      </c>
      <c r="H45" s="74"/>
      <c r="I45" s="68" t="s">
        <v>530</v>
      </c>
    </row>
    <row r="46" customFormat="false" ht="15" hidden="false" customHeight="false" outlineLevel="0" collapsed="false">
      <c r="B46" s="21" t="s">
        <v>531</v>
      </c>
      <c r="C46" s="84" t="n">
        <f aca="false">ECONOMIA!C19</f>
        <v>162.893279261767</v>
      </c>
      <c r="D46" s="84" t="n">
        <f aca="false">ECONOMIA!D19</f>
        <v>162.893279261767</v>
      </c>
      <c r="E46" s="84" t="n">
        <f aca="false">ECONOMIA!E19</f>
        <v>164.294054390772</v>
      </c>
      <c r="F46" s="84" t="n">
        <f aca="false">ECONOMIA!F19</f>
        <v>164.294054390772</v>
      </c>
      <c r="G46" s="84" t="n">
        <f aca="false">ECONOMIA!G19</f>
        <v>219.515548258055</v>
      </c>
      <c r="H46" s="84"/>
      <c r="I46" s="65" t="s">
        <v>532</v>
      </c>
    </row>
    <row r="47" customFormat="false" ht="15" hidden="false" customHeight="false" outlineLevel="0" collapsed="false">
      <c r="B47" s="4" t="s">
        <v>533</v>
      </c>
      <c r="C47" s="74" t="n">
        <f aca="false">ECONOMIA!C26</f>
        <v>6121.91852197507</v>
      </c>
      <c r="D47" s="74" t="n">
        <f aca="false">ECONOMIA!D26</f>
        <v>6121.91852197507</v>
      </c>
      <c r="E47" s="74" t="n">
        <f aca="false">ECONOMIA!E26</f>
        <v>6105.10922042702</v>
      </c>
      <c r="F47" s="74" t="n">
        <f aca="false">ECONOMIA!F26</f>
        <v>6105.10922042702</v>
      </c>
      <c r="G47" s="74" t="n">
        <f aca="false">ECONOMIA!G26</f>
        <v>5442.45129401962</v>
      </c>
      <c r="H47" s="74"/>
      <c r="I47" s="68"/>
    </row>
    <row r="48" customFormat="false" ht="15" hidden="false" customHeight="false" outlineLevel="0" collapsed="false">
      <c r="B48" s="21" t="s">
        <v>534</v>
      </c>
      <c r="C48" s="84" t="n">
        <f aca="false">C47/12</f>
        <v>510.159876831256</v>
      </c>
      <c r="D48" s="84" t="n">
        <f aca="false">D47/12</f>
        <v>510.159876831256</v>
      </c>
      <c r="E48" s="84" t="n">
        <f aca="false">E47/12</f>
        <v>508.759101702252</v>
      </c>
      <c r="F48" s="84" t="n">
        <f aca="false">F47/12</f>
        <v>508.759101702252</v>
      </c>
      <c r="G48" s="84" t="n">
        <f aca="false">G47/12</f>
        <v>453.537607834968</v>
      </c>
      <c r="H48" s="84"/>
      <c r="I48" s="68"/>
    </row>
    <row r="49" customFormat="false" ht="15" hidden="false" customHeight="false" outlineLevel="0" collapsed="false">
      <c r="B49" s="21" t="s">
        <v>535</v>
      </c>
      <c r="C49" s="85" t="n">
        <f aca="false">IFERROR(C23/C47,0)</f>
        <v>4.86754273076902</v>
      </c>
      <c r="D49" s="85" t="n">
        <f aca="false">IFERROR(D23/D47,0)</f>
        <v>4.71713236566947</v>
      </c>
      <c r="E49" s="85" t="n">
        <f aca="false">IFERROR(E23/E47,0)</f>
        <v>3.03358045389802</v>
      </c>
      <c r="F49" s="85" t="n">
        <f aca="false">IFERROR(F23/F47,0)</f>
        <v>3.19737768731264</v>
      </c>
      <c r="G49" s="85" t="n">
        <f aca="false">IFERROR(G23/G47,0)</f>
        <v>3.92266441106401</v>
      </c>
      <c r="H49" s="85"/>
      <c r="I49" s="68" t="s">
        <v>536</v>
      </c>
    </row>
    <row r="50" customFormat="false" ht="15" hidden="false" customHeight="false" outlineLevel="0" collapsed="false">
      <c r="B50" s="4" t="s">
        <v>537</v>
      </c>
      <c r="C50" s="86" t="n">
        <f aca="false">PROJECAO!E10</f>
        <v>34868.8793416317</v>
      </c>
      <c r="D50" s="86" t="n">
        <f aca="false">PROJECAO!H10</f>
        <v>34868.8793416317</v>
      </c>
      <c r="E50" s="86" t="n">
        <f aca="false">PROJECAO!K10</f>
        <v>34773.1378668975</v>
      </c>
      <c r="F50" s="86" t="n">
        <f aca="false">PROJECAO!N10</f>
        <v>34773.1378668975</v>
      </c>
      <c r="G50" s="86" t="n">
        <f aca="false">PROJECAO!Q10</f>
        <v>30998.8081044653</v>
      </c>
      <c r="H50" s="86"/>
      <c r="I50" s="68"/>
    </row>
    <row r="51" customFormat="false" ht="15" hidden="false" customHeight="false" outlineLevel="0" collapsed="false">
      <c r="B51" s="4" t="s">
        <v>538</v>
      </c>
      <c r="C51" s="86" t="n">
        <f aca="false">PROJECAO!E15</f>
        <v>82683.773630833</v>
      </c>
      <c r="D51" s="86" t="n">
        <f aca="false">PROJECAO!H15</f>
        <v>82683.773630833</v>
      </c>
      <c r="E51" s="86" t="n">
        <f aca="false">PROJECAO!K15</f>
        <v>82456.7440682698</v>
      </c>
      <c r="F51" s="86" t="n">
        <f aca="false">PROJECAO!N15</f>
        <v>82456.7440682698</v>
      </c>
      <c r="G51" s="86" t="n">
        <f aca="false">PROJECAO!Q15</f>
        <v>73506.7624922213</v>
      </c>
      <c r="H51" s="86"/>
      <c r="I51" s="68"/>
    </row>
    <row r="52" customFormat="false" ht="15" hidden="false" customHeight="false" outlineLevel="0" collapsed="false">
      <c r="B52" s="4" t="s">
        <v>539</v>
      </c>
      <c r="C52" s="86" t="n">
        <f aca="false">PROJECAO!E25</f>
        <v>238162.405280052</v>
      </c>
      <c r="D52" s="86" t="n">
        <f aca="false">PROJECAO!H25</f>
        <v>238162.405280052</v>
      </c>
      <c r="E52" s="86" t="n">
        <f aca="false">PROJECAO!K25</f>
        <v>237508.469153103</v>
      </c>
      <c r="F52" s="86" t="n">
        <f aca="false">PROJECAO!N25</f>
        <v>237508.469153103</v>
      </c>
      <c r="G52" s="86" t="n">
        <f aca="false">PROJECAO!Q25</f>
        <v>211728.935324847</v>
      </c>
      <c r="H52" s="86"/>
      <c r="I52" s="68"/>
    </row>
    <row r="53" customFormat="false" ht="19.4" hidden="false" customHeight="false" outlineLevel="0" collapsed="false">
      <c r="B53" s="21" t="s">
        <v>540</v>
      </c>
      <c r="C53" s="87" t="n">
        <f aca="false">C52-C23</f>
        <v>208363.705280052</v>
      </c>
      <c r="D53" s="87" t="n">
        <f aca="false">D52-D23</f>
        <v>209284.505280052</v>
      </c>
      <c r="E53" s="87" t="n">
        <f aca="false">E52-E23</f>
        <v>218988.129153103</v>
      </c>
      <c r="F53" s="87" t="n">
        <f aca="false">F52-F23</f>
        <v>217988.129153103</v>
      </c>
      <c r="G53" s="87" t="n">
        <f aca="false">G52-G23</f>
        <v>190380.025324847</v>
      </c>
      <c r="H53" s="87"/>
      <c r="I53" s="68" t="s">
        <v>541</v>
      </c>
    </row>
    <row r="54" customFormat="false" ht="15" hidden="false" customHeight="false" outlineLevel="0" collapsed="false">
      <c r="B54" s="4" t="s">
        <v>542</v>
      </c>
      <c r="C54" s="80" t="n">
        <f aca="false">IFERROR(C53/C23,0)</f>
        <v>6.99237568350472</v>
      </c>
      <c r="D54" s="80" t="n">
        <f aca="false">IFERROR(D53/D23,0)</f>
        <v>7.24722037544461</v>
      </c>
      <c r="E54" s="80" t="n">
        <f aca="false">IFERROR(E53/E23,0)</f>
        <v>11.8241959463543</v>
      </c>
      <c r="F54" s="80" t="n">
        <f aca="false">IFERROR(F53/F23,0)</f>
        <v>11.1672301380561</v>
      </c>
      <c r="G54" s="80" t="n">
        <f aca="false">IFERROR(G53/G23,0)</f>
        <v>8.91755248042393</v>
      </c>
      <c r="H54" s="80"/>
      <c r="I54" s="68"/>
    </row>
    <row r="56" customFormat="false" ht="15" hidden="false" customHeight="false" outlineLevel="0" collapsed="false">
      <c r="B56" s="7" t="s">
        <v>543</v>
      </c>
      <c r="C56" s="8"/>
      <c r="D56" s="8"/>
      <c r="E56" s="8"/>
      <c r="F56" s="8"/>
      <c r="G56" s="8"/>
      <c r="H56" s="8"/>
      <c r="I56" s="8"/>
    </row>
    <row r="57" customFormat="false" ht="15" hidden="false" customHeight="false" outlineLevel="0" collapsed="false">
      <c r="B57" s="4" t="s">
        <v>544</v>
      </c>
      <c r="C57" s="88" t="n">
        <f aca="false">C13*1.35</f>
        <v>8.1</v>
      </c>
      <c r="D57" s="88" t="n">
        <f aca="false">D13*1.35</f>
        <v>8.1</v>
      </c>
      <c r="E57" s="88" t="n">
        <f aca="false">E13*1.35</f>
        <v>6.75</v>
      </c>
      <c r="F57" s="88" t="n">
        <f aca="false">F13*1.35</f>
        <v>6.75</v>
      </c>
      <c r="G57" s="88" t="n">
        <f aca="false">G13*1.35</f>
        <v>5.4</v>
      </c>
      <c r="H57" s="88"/>
      <c r="I57" s="68"/>
    </row>
    <row r="58" customFormat="false" ht="22.35" hidden="false" customHeight="false" outlineLevel="0" collapsed="false">
      <c r="B58" s="21" t="s">
        <v>545</v>
      </c>
      <c r="C58" s="82" t="n">
        <f aca="false">MAX(0,ROUNDDOWN((C57-C11)*1000/C9,0))</f>
        <v>1</v>
      </c>
      <c r="D58" s="82" t="n">
        <f aca="false">MAX(0,ROUNDDOWN((D57-D11)*1000/D9,0))</f>
        <v>1</v>
      </c>
      <c r="E58" s="82" t="n">
        <f aca="false">MAX(0,ROUNDDOWN((E57-E11)*1000/E9,0))</f>
        <v>0</v>
      </c>
      <c r="F58" s="82" t="n">
        <f aca="false">MAX(0,ROUNDDOWN((F57-F11)*1000/F9,0))</f>
        <v>0</v>
      </c>
      <c r="G58" s="82" t="n">
        <f aca="false">MAX(0,ROUNDDOWN((G57-G11)*1000/G9,0))</f>
        <v>0</v>
      </c>
      <c r="H58" s="82"/>
      <c r="I58" s="65" t="s">
        <v>546</v>
      </c>
    </row>
    <row r="59" customFormat="false" ht="15" hidden="false" customHeight="false" outlineLevel="0" collapsed="false">
      <c r="B59" s="4" t="s">
        <v>547</v>
      </c>
      <c r="C59" s="78" t="n">
        <f aca="false">C58*C9/1000*GERACAO!$I$17</f>
        <v>777.525431925</v>
      </c>
      <c r="D59" s="78" t="n">
        <f aca="false">D58*D9/1000*GERACAO!$I$17</f>
        <v>764.882741975</v>
      </c>
      <c r="E59" s="78" t="n">
        <f aca="false">E58*E9/1000*GERACAO!$I$17</f>
        <v>0</v>
      </c>
      <c r="F59" s="78" t="n">
        <f aca="false">F58*F9/1000*GERACAO!$I$17</f>
        <v>0</v>
      </c>
      <c r="G59" s="78" t="n">
        <f aca="false">G58*G9/1000*GERACAO!$I$17</f>
        <v>0</v>
      </c>
      <c r="H59" s="78"/>
      <c r="I59" s="68"/>
    </row>
    <row r="61" customFormat="false" ht="15" hidden="false" customHeight="false" outlineLevel="0" collapsed="false">
      <c r="B61" s="7" t="s">
        <v>548</v>
      </c>
      <c r="C61" s="8"/>
      <c r="D61" s="8"/>
      <c r="E61" s="8"/>
      <c r="F61" s="8"/>
      <c r="G61" s="8"/>
      <c r="H61" s="8"/>
      <c r="I61" s="8"/>
    </row>
    <row r="62" customFormat="false" ht="15" hidden="false" customHeight="false" outlineLevel="0" collapsed="false">
      <c r="B62" s="21" t="s">
        <v>549</v>
      </c>
      <c r="C62" s="35" t="n">
        <f aca="false">F18-E18</f>
        <v>1000</v>
      </c>
      <c r="I62" s="2" t="s">
        <v>550</v>
      </c>
    </row>
    <row r="63" customFormat="false" ht="15" hidden="false" customHeight="false" outlineLevel="0" collapsed="false">
      <c r="B63" s="4" t="s">
        <v>551</v>
      </c>
      <c r="C63" s="29" t="n">
        <f aca="false">IFERROR(F49-E49,0)</f>
        <v>0.163797233414615</v>
      </c>
    </row>
    <row r="64" customFormat="false" ht="15" hidden="false" customHeight="false" outlineLevel="0" collapsed="false">
      <c r="B64" s="4" t="s">
        <v>552</v>
      </c>
      <c r="C64" s="89" t="n">
        <f aca="false">F53-E53</f>
        <v>-1000</v>
      </c>
    </row>
    <row r="65" customFormat="false" ht="15" hidden="false" customHeight="false" outlineLevel="0" collapsed="false">
      <c r="B65" s="5" t="s">
        <v>553</v>
      </c>
    </row>
    <row r="66" customFormat="false" ht="15" hidden="false" customHeight="false" outlineLevel="0" collapsed="false">
      <c r="B66" s="4" t="s">
        <v>554</v>
      </c>
    </row>
    <row r="67" customFormat="false" ht="15" hidden="false" customHeight="false" outlineLevel="0" collapsed="false">
      <c r="B67" s="4" t="s">
        <v>555</v>
      </c>
    </row>
    <row r="68" customFormat="false" ht="15" hidden="false" customHeight="false" outlineLevel="0" collapsed="false">
      <c r="B68" s="4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2" t="s">
        <v>558</v>
      </c>
    </row>
    <row r="4" customFormat="false" ht="49.5" hidden="false" customHeight="true" outlineLevel="0" collapsed="false">
      <c r="B4" s="17" t="s">
        <v>434</v>
      </c>
      <c r="C4" s="17" t="s">
        <v>559</v>
      </c>
      <c r="D4" s="17" t="s">
        <v>560</v>
      </c>
      <c r="E4" s="17" t="s">
        <v>561</v>
      </c>
      <c r="F4" s="17" t="s">
        <v>562</v>
      </c>
    </row>
    <row r="5" customFormat="false" ht="23.85" hidden="false" customHeight="false" outlineLevel="0" collapsed="false">
      <c r="B5" s="18" t="s">
        <v>563</v>
      </c>
      <c r="C5" s="51" t="s">
        <v>564</v>
      </c>
      <c r="D5" s="51" t="s">
        <v>565</v>
      </c>
      <c r="E5" s="51" t="s">
        <v>566</v>
      </c>
      <c r="F5" s="90" t="s">
        <v>567</v>
      </c>
    </row>
    <row r="6" customFormat="false" ht="23.85" hidden="false" customHeight="false" outlineLevel="0" collapsed="false">
      <c r="B6" s="18" t="s">
        <v>472</v>
      </c>
      <c r="C6" s="51" t="s">
        <v>568</v>
      </c>
      <c r="D6" s="51" t="s">
        <v>568</v>
      </c>
      <c r="E6" s="51" t="s">
        <v>569</v>
      </c>
      <c r="F6" s="90" t="s">
        <v>570</v>
      </c>
    </row>
    <row r="7" customFormat="false" ht="23.85" hidden="false" customHeight="false" outlineLevel="0" collapsed="false">
      <c r="B7" s="18" t="s">
        <v>571</v>
      </c>
      <c r="C7" s="51" t="s">
        <v>572</v>
      </c>
      <c r="D7" s="51" t="s">
        <v>572</v>
      </c>
      <c r="E7" s="51" t="s">
        <v>573</v>
      </c>
      <c r="F7" s="91" t="s">
        <v>574</v>
      </c>
    </row>
    <row r="8" customFormat="false" ht="23.85" hidden="false" customHeight="false" outlineLevel="0" collapsed="false">
      <c r="B8" s="18" t="s">
        <v>575</v>
      </c>
      <c r="C8" s="51" t="s">
        <v>576</v>
      </c>
      <c r="D8" s="51" t="s">
        <v>577</v>
      </c>
      <c r="E8" s="51" t="s">
        <v>578</v>
      </c>
      <c r="F8" s="90" t="s">
        <v>579</v>
      </c>
    </row>
    <row r="9" customFormat="false" ht="15" hidden="false" customHeight="false" outlineLevel="0" collapsed="false">
      <c r="B9" s="18" t="s">
        <v>580</v>
      </c>
      <c r="C9" s="51" t="s">
        <v>581</v>
      </c>
      <c r="D9" s="51" t="s">
        <v>581</v>
      </c>
      <c r="E9" s="51" t="s">
        <v>582</v>
      </c>
      <c r="F9" s="90" t="s">
        <v>583</v>
      </c>
    </row>
    <row r="10" customFormat="false" ht="15" hidden="false" customHeight="false" outlineLevel="0" collapsed="false">
      <c r="B10" s="18" t="s">
        <v>584</v>
      </c>
      <c r="C10" s="51" t="s">
        <v>585</v>
      </c>
      <c r="D10" s="51" t="s">
        <v>585</v>
      </c>
      <c r="E10" s="51" t="s">
        <v>586</v>
      </c>
      <c r="F10" s="90" t="s">
        <v>587</v>
      </c>
    </row>
    <row r="11" customFormat="false" ht="22.35" hidden="false" customHeight="false" outlineLevel="0" collapsed="false">
      <c r="B11" s="18" t="s">
        <v>588</v>
      </c>
      <c r="C11" s="51" t="s">
        <v>589</v>
      </c>
      <c r="D11" s="51" t="s">
        <v>590</v>
      </c>
      <c r="E11" s="51" t="s">
        <v>591</v>
      </c>
      <c r="F11" s="91" t="s">
        <v>592</v>
      </c>
    </row>
    <row r="12" customFormat="false" ht="23.85" hidden="false" customHeight="false" outlineLevel="0" collapsed="false">
      <c r="B12" s="18" t="s">
        <v>593</v>
      </c>
      <c r="C12" s="51" t="s">
        <v>594</v>
      </c>
      <c r="D12" s="51" t="s">
        <v>595</v>
      </c>
      <c r="E12" s="51" t="s">
        <v>596</v>
      </c>
      <c r="F12" s="90" t="s">
        <v>597</v>
      </c>
    </row>
    <row r="13" customFormat="false" ht="22.35" hidden="false" customHeight="false" outlineLevel="0" collapsed="false">
      <c r="B13" s="18" t="s">
        <v>598</v>
      </c>
      <c r="C13" s="51" t="s">
        <v>599</v>
      </c>
      <c r="D13" s="92" t="s">
        <v>600</v>
      </c>
      <c r="E13" s="51" t="s">
        <v>601</v>
      </c>
      <c r="F13" s="91" t="s">
        <v>602</v>
      </c>
    </row>
    <row r="14" customFormat="false" ht="15" hidden="false" customHeight="false" outlineLevel="0" collapsed="false">
      <c r="B14" s="18" t="s">
        <v>603</v>
      </c>
      <c r="C14" s="51" t="s">
        <v>604</v>
      </c>
      <c r="D14" s="51" t="s">
        <v>604</v>
      </c>
      <c r="E14" s="51" t="s">
        <v>605</v>
      </c>
      <c r="F14" s="90" t="s">
        <v>606</v>
      </c>
    </row>
    <row r="15" customFormat="false" ht="23.85" hidden="false" customHeight="false" outlineLevel="0" collapsed="false">
      <c r="B15" s="18" t="s">
        <v>607</v>
      </c>
      <c r="C15" s="92" t="s">
        <v>600</v>
      </c>
      <c r="D15" s="92" t="s">
        <v>600</v>
      </c>
      <c r="E15" s="51" t="s">
        <v>608</v>
      </c>
      <c r="F15" s="91" t="s">
        <v>609</v>
      </c>
    </row>
    <row r="16" customFormat="false" ht="15" hidden="false" customHeight="false" outlineLevel="0" collapsed="false">
      <c r="B16" s="18" t="s">
        <v>610</v>
      </c>
      <c r="C16" s="51" t="s">
        <v>611</v>
      </c>
      <c r="D16" s="51" t="s">
        <v>611</v>
      </c>
      <c r="E16" s="51" t="s">
        <v>612</v>
      </c>
      <c r="F16" s="90" t="s">
        <v>613</v>
      </c>
    </row>
    <row r="17" customFormat="false" ht="15" hidden="false" customHeight="false" outlineLevel="0" collapsed="false">
      <c r="B17" s="18" t="s">
        <v>614</v>
      </c>
      <c r="C17" s="92" t="s">
        <v>600</v>
      </c>
      <c r="D17" s="92" t="s">
        <v>600</v>
      </c>
      <c r="E17" s="51" t="s">
        <v>615</v>
      </c>
      <c r="F17" s="91" t="s">
        <v>616</v>
      </c>
    </row>
    <row r="18" customFormat="false" ht="23.85" hidden="false" customHeight="false" outlineLevel="0" collapsed="false">
      <c r="B18" s="18" t="s">
        <v>617</v>
      </c>
      <c r="C18" s="51" t="s">
        <v>618</v>
      </c>
      <c r="D18" s="92" t="s">
        <v>619</v>
      </c>
      <c r="E18" s="51" t="s">
        <v>620</v>
      </c>
      <c r="F18" s="91" t="s">
        <v>621</v>
      </c>
    </row>
    <row r="19" customFormat="false" ht="19.4" hidden="false" customHeight="false" outlineLevel="0" collapsed="false">
      <c r="B19" s="18" t="s">
        <v>622</v>
      </c>
      <c r="C19" s="51" t="s">
        <v>623</v>
      </c>
      <c r="D19" s="51" t="s">
        <v>624</v>
      </c>
      <c r="E19" s="51" t="s">
        <v>625</v>
      </c>
      <c r="F19" s="90" t="s">
        <v>626</v>
      </c>
    </row>
    <row r="20" customFormat="false" ht="19.4" hidden="false" customHeight="false" outlineLevel="0" collapsed="false">
      <c r="B20" s="18" t="s">
        <v>627</v>
      </c>
      <c r="C20" s="51" t="s">
        <v>628</v>
      </c>
      <c r="D20" s="51" t="s">
        <v>628</v>
      </c>
      <c r="E20" s="51" t="s">
        <v>628</v>
      </c>
      <c r="F20" s="90" t="s">
        <v>629</v>
      </c>
    </row>
    <row r="22" customFormat="false" ht="15" hidden="false" customHeight="false" outlineLevel="0" collapsed="false">
      <c r="B22" s="3" t="s">
        <v>630</v>
      </c>
    </row>
    <row r="23" customFormat="false" ht="15" hidden="false" customHeight="false" outlineLevel="0" collapsed="false">
      <c r="B23" s="17" t="s">
        <v>631</v>
      </c>
      <c r="C23" s="17" t="s">
        <v>632</v>
      </c>
      <c r="D23" s="17" t="s">
        <v>633</v>
      </c>
      <c r="E23" s="17" t="s">
        <v>634</v>
      </c>
    </row>
    <row r="24" customFormat="false" ht="15" hidden="false" customHeight="false" outlineLevel="0" collapsed="false">
      <c r="B24" s="4" t="s">
        <v>635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636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637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638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639</v>
      </c>
      <c r="C28" s="47" t="n">
        <f aca="false">SUM(C24:C27)</f>
        <v>18228.7</v>
      </c>
      <c r="D28" s="47" t="n">
        <f aca="false">SUM(D24:D27)</f>
        <v>17307.9</v>
      </c>
      <c r="E28" s="47" t="n">
        <f aca="false">SUM(E24:E27)</f>
        <v>11158.91</v>
      </c>
    </row>
    <row r="30" customFormat="false" ht="15" hidden="false" customHeight="false" outlineLevel="0" collapsed="false">
      <c r="B30" s="4" t="s">
        <v>640</v>
      </c>
      <c r="C30" s="44" t="n">
        <f aca="false">COMPARATIVO!C11</f>
        <v>7.38</v>
      </c>
      <c r="D30" s="44" t="n">
        <f aca="false">COMPARATIVO!D11</f>
        <v>7.26</v>
      </c>
      <c r="E30" s="44" t="n">
        <f aca="false">COMPARATIVO!G11</f>
        <v>5.35</v>
      </c>
    </row>
    <row r="31" customFormat="false" ht="15" hidden="false" customHeight="false" outlineLevel="0" collapsed="false">
      <c r="B31" s="21" t="s">
        <v>500</v>
      </c>
      <c r="C31" s="93" t="n">
        <f aca="false">IFERROR(C28/(C30*1000),0)</f>
        <v>2.4700135501355</v>
      </c>
      <c r="D31" s="93" t="n">
        <f aca="false">IFERROR(D28/(D30*1000),0)</f>
        <v>2.38400826446281</v>
      </c>
      <c r="E31" s="93" t="n">
        <f aca="false">IFERROR(E28/(E30*1000),0)</f>
        <v>2.08577757009346</v>
      </c>
    </row>
    <row r="33" customFormat="false" ht="15" hidden="false" customHeight="false" outlineLevel="0" collapsed="false">
      <c r="B33" s="4" t="s">
        <v>641</v>
      </c>
      <c r="C33" s="4" t="s">
        <v>642</v>
      </c>
    </row>
    <row r="34" customFormat="false" ht="15" hidden="false" customHeight="false" outlineLevel="0" collapsed="false">
      <c r="B34" s="21" t="s">
        <v>643</v>
      </c>
      <c r="C34" s="94" t="n">
        <f aca="false">IFERROR(7690/E28,0)</f>
        <v>0.689135408386661</v>
      </c>
      <c r="D34" s="2" t="s">
        <v>644</v>
      </c>
    </row>
    <row r="35" customFormat="false" ht="15" hidden="false" customHeight="false" outlineLevel="0" collapsed="false">
      <c r="B35" s="21" t="s">
        <v>645</v>
      </c>
      <c r="C35" s="23" t="n">
        <f aca="false">C28+790+6900/10*12</f>
        <v>27298.7</v>
      </c>
      <c r="D35" s="2" t="s">
        <v>646</v>
      </c>
    </row>
    <row r="37" customFormat="false" ht="15" hidden="false" customHeight="false" outlineLevel="0" collapsed="false">
      <c r="B37" s="3" t="s">
        <v>647</v>
      </c>
    </row>
    <row r="38" customFormat="false" ht="15" hidden="false" customHeight="false" outlineLevel="0" collapsed="false">
      <c r="B38" s="4" t="s">
        <v>648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649</v>
      </c>
      <c r="C39" s="12" t="n">
        <f aca="false">COMPARATIVO!C28-COMPARATIVO!D28</f>
        <v>151.712279400001</v>
      </c>
    </row>
    <row r="40" customFormat="false" ht="15" hidden="false" customHeight="false" outlineLevel="0" collapsed="false">
      <c r="B40" s="4" t="s">
        <v>650</v>
      </c>
      <c r="C40" s="15" t="n">
        <f aca="false">C39*ENTRADAS!C18</f>
        <v>154.969542038719</v>
      </c>
    </row>
    <row r="41" customFormat="false" ht="15" hidden="false" customHeight="false" outlineLevel="0" collapsed="false">
      <c r="B41" s="21" t="s">
        <v>651</v>
      </c>
      <c r="C41" s="95" t="n">
        <f aca="false">IFERROR(C38/C40,0)</f>
        <v>5.94181274517766</v>
      </c>
      <c r="D41" s="2" t="s">
        <v>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8" min="3" style="0" width="15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653</v>
      </c>
    </row>
    <row r="2" customFormat="false" ht="15" hidden="false" customHeight="false" outlineLevel="0" collapsed="false">
      <c r="A2" s="2" t="s">
        <v>654</v>
      </c>
    </row>
    <row r="4" customFormat="false" ht="31.5" hidden="false" customHeight="true" outlineLevel="0" collapsed="false">
      <c r="B4" s="17" t="s">
        <v>655</v>
      </c>
      <c r="C4" s="17" t="s">
        <v>656</v>
      </c>
      <c r="D4" s="17" t="s">
        <v>657</v>
      </c>
      <c r="E4" s="17" t="s">
        <v>658</v>
      </c>
      <c r="F4" s="17" t="s">
        <v>659</v>
      </c>
      <c r="G4" s="17" t="s">
        <v>660</v>
      </c>
      <c r="H4" s="17" t="s">
        <v>661</v>
      </c>
      <c r="I4" s="17" t="s">
        <v>662</v>
      </c>
    </row>
    <row r="5" customFormat="false" ht="15" hidden="false" customHeight="false" outlineLevel="0" collapsed="false">
      <c r="B5" s="4" t="s">
        <v>663</v>
      </c>
      <c r="C5" s="36" t="n">
        <f aca="false">BYD!$G$35</f>
        <v>8099.42325581395</v>
      </c>
      <c r="D5" s="36" t="n">
        <f aca="false">BYD!$G$35</f>
        <v>8099.42325581395</v>
      </c>
      <c r="E5" s="36" t="n">
        <f aca="false">BYD!$G$35</f>
        <v>8099.42325581395</v>
      </c>
      <c r="F5" s="36" t="n">
        <f aca="false">BYD!$G$35</f>
        <v>8099.42325581395</v>
      </c>
      <c r="G5" s="36" t="n">
        <f aca="false">BYD!$G$35</f>
        <v>8099.42325581395</v>
      </c>
      <c r="H5" s="96"/>
      <c r="I5" s="68" t="s">
        <v>664</v>
      </c>
    </row>
    <row r="6" customFormat="false" ht="15" hidden="false" customHeight="false" outlineLevel="0" collapsed="false">
      <c r="B6" s="4" t="s">
        <v>665</v>
      </c>
      <c r="C6" s="36" t="n">
        <f aca="false">COMPARATIVO!C28</f>
        <v>9330.3051831</v>
      </c>
      <c r="D6" s="36" t="n">
        <f aca="false">COMPARATIVO!D28</f>
        <v>9178.5929037</v>
      </c>
      <c r="E6" s="36" t="n">
        <f aca="false">COMPARATIVO!E28</f>
        <v>7838.467769</v>
      </c>
      <c r="F6" s="36" t="n">
        <f aca="false">COMPARATIVO!F28</f>
        <v>7838.467769</v>
      </c>
      <c r="G6" s="36" t="n">
        <f aca="false">COMPARATIVO!G28</f>
        <v>6763.83912325</v>
      </c>
      <c r="H6" s="96"/>
      <c r="I6" s="68" t="s">
        <v>666</v>
      </c>
    </row>
    <row r="7" customFormat="false" ht="15" hidden="false" customHeight="false" outlineLevel="0" collapsed="false">
      <c r="B7" s="4" t="s">
        <v>667</v>
      </c>
      <c r="C7" s="97" t="n">
        <f aca="false">ENTRADAS!$C$18</f>
        <v>1.02147</v>
      </c>
      <c r="D7" s="97" t="n">
        <f aca="false">ENTRADAS!$C$18</f>
        <v>1.02147</v>
      </c>
      <c r="E7" s="97" t="n">
        <f aca="false">ENTRADAS!$C$18</f>
        <v>1.02147</v>
      </c>
      <c r="F7" s="97" t="n">
        <f aca="false">ENTRADAS!$C$18</f>
        <v>1.02147</v>
      </c>
      <c r="G7" s="97" t="n">
        <f aca="false">ENTRADAS!$C$18</f>
        <v>1.02147</v>
      </c>
      <c r="H7" s="96"/>
      <c r="I7" s="68" t="s">
        <v>668</v>
      </c>
    </row>
    <row r="8" customFormat="false" ht="15" hidden="false" customHeight="false" outlineLevel="0" collapsed="false">
      <c r="B8" s="21" t="s">
        <v>669</v>
      </c>
      <c r="C8" s="98" t="n">
        <f aca="false">C5*C7+ENTRADAS!$C$26*12</f>
        <v>8526.63787311628</v>
      </c>
      <c r="D8" s="98" t="n">
        <f aca="false">D5*D7+ENTRADAS!$C$26*12</f>
        <v>8526.63787311628</v>
      </c>
      <c r="E8" s="98" t="n">
        <f aca="false">E5*E7+ENTRADAS!$C$26*12</f>
        <v>8526.63787311628</v>
      </c>
      <c r="F8" s="98" t="n">
        <f aca="false">F5*F7+ENTRADAS!$C$26*12</f>
        <v>8526.63787311628</v>
      </c>
      <c r="G8" s="98" t="n">
        <f aca="false">G5*G7+ENTRADAS!$C$26*12</f>
        <v>8526.63787311628</v>
      </c>
      <c r="H8" s="96"/>
      <c r="I8" s="68" t="s">
        <v>670</v>
      </c>
    </row>
    <row r="9" customFormat="false" ht="15" hidden="false" customHeight="false" outlineLevel="0" collapsed="false">
      <c r="B9" s="4" t="s">
        <v>671</v>
      </c>
      <c r="C9" s="36" t="n">
        <f aca="false">MIN(C5,C6)*ENTRADAS!$C$37</f>
        <v>2429.82697674419</v>
      </c>
      <c r="D9" s="36" t="n">
        <f aca="false">MIN(D5,D6)*ENTRADAS!$C$37</f>
        <v>2429.82697674419</v>
      </c>
      <c r="E9" s="36" t="n">
        <f aca="false">MIN(E5,E6)*ENTRADAS!$C$37</f>
        <v>2351.5403307</v>
      </c>
      <c r="F9" s="36" t="n">
        <f aca="false">MIN(F5,F6)*ENTRADAS!$C$37</f>
        <v>2351.5403307</v>
      </c>
      <c r="G9" s="36" t="n">
        <f aca="false">MIN(G5,G6)*ENTRADAS!$C$37</f>
        <v>2029.151736975</v>
      </c>
      <c r="H9" s="96"/>
      <c r="I9" s="68" t="s">
        <v>672</v>
      </c>
    </row>
    <row r="10" customFormat="false" ht="15" hidden="false" customHeight="false" outlineLevel="0" collapsed="false">
      <c r="B10" s="4" t="s">
        <v>673</v>
      </c>
      <c r="C10" s="36" t="n">
        <f aca="false">C6-C9</f>
        <v>6900.47820635582</v>
      </c>
      <c r="D10" s="36" t="n">
        <f aca="false">D6-D9</f>
        <v>6748.76592695581</v>
      </c>
      <c r="E10" s="36" t="n">
        <f aca="false">E6-E9</f>
        <v>5486.9274383</v>
      </c>
      <c r="F10" s="36" t="n">
        <f aca="false">F6-F9</f>
        <v>5486.9274383</v>
      </c>
      <c r="G10" s="36" t="n">
        <f aca="false">G6-G9</f>
        <v>4734.687386275</v>
      </c>
      <c r="H10" s="96"/>
      <c r="I10" s="68" t="s">
        <v>674</v>
      </c>
    </row>
    <row r="11" customFormat="false" ht="15" hidden="false" customHeight="false" outlineLevel="0" collapsed="false">
      <c r="B11" s="4" t="s">
        <v>675</v>
      </c>
      <c r="C11" s="36" t="n">
        <f aca="false">ENTRADAS!$C$17*12</f>
        <v>600</v>
      </c>
      <c r="D11" s="36" t="n">
        <f aca="false">ENTRADAS!$C$17*12</f>
        <v>600</v>
      </c>
      <c r="E11" s="36" t="n">
        <f aca="false">ENTRADAS!$C$17*12</f>
        <v>600</v>
      </c>
      <c r="F11" s="36" t="n">
        <f aca="false">ENTRADAS!$C$17*12</f>
        <v>600</v>
      </c>
      <c r="G11" s="36" t="n">
        <f aca="false">ENTRADAS!$C$17*12</f>
        <v>600</v>
      </c>
      <c r="H11" s="96"/>
      <c r="I11" s="68" t="s">
        <v>676</v>
      </c>
    </row>
    <row r="12" customFormat="false" ht="15" hidden="false" customHeight="false" outlineLevel="0" collapsed="false">
      <c r="B12" s="4" t="s">
        <v>677</v>
      </c>
      <c r="C12" s="36" t="n">
        <f aca="false">MAX(0,MIN(C10,C5-C9-C11))</f>
        <v>5069.59627906977</v>
      </c>
      <c r="D12" s="36" t="n">
        <f aca="false">MAX(0,MIN(D10,D5-D9-D11))</f>
        <v>5069.59627906977</v>
      </c>
      <c r="E12" s="36" t="n">
        <f aca="false">MAX(0,MIN(E10,E5-E9-E11))</f>
        <v>5147.88292511395</v>
      </c>
      <c r="F12" s="36" t="n">
        <f aca="false">MAX(0,MIN(F10,F5-F9-F11))</f>
        <v>5147.88292511395</v>
      </c>
      <c r="G12" s="36" t="n">
        <f aca="false">MAX(0,MIN(G10,G5-G9-G11))</f>
        <v>4734.687386275</v>
      </c>
      <c r="H12" s="96"/>
      <c r="I12" s="68" t="s">
        <v>678</v>
      </c>
    </row>
    <row r="13" customFormat="false" ht="15" hidden="false" customHeight="false" outlineLevel="0" collapsed="false">
      <c r="B13" s="4" t="s">
        <v>679</v>
      </c>
      <c r="C13" s="36" t="n">
        <f aca="false">C10-C12</f>
        <v>1830.88192728605</v>
      </c>
      <c r="D13" s="36" t="n">
        <f aca="false">D10-D12</f>
        <v>1679.16964788605</v>
      </c>
      <c r="E13" s="36" t="n">
        <f aca="false">E10-E12</f>
        <v>339.044513186047</v>
      </c>
      <c r="F13" s="36" t="n">
        <f aca="false">F10-F12</f>
        <v>339.044513186047</v>
      </c>
      <c r="G13" s="36" t="n">
        <f aca="false">G10-G12</f>
        <v>0</v>
      </c>
      <c r="H13" s="96"/>
      <c r="I13" s="68" t="s">
        <v>680</v>
      </c>
    </row>
    <row r="14" customFormat="false" ht="15" hidden="false" customHeight="false" outlineLevel="0" collapsed="false">
      <c r="B14" s="4" t="s">
        <v>681</v>
      </c>
      <c r="C14" s="36" t="n">
        <f aca="false">MAX(C11,C5-C9-C12)</f>
        <v>600</v>
      </c>
      <c r="D14" s="36" t="n">
        <f aca="false">MAX(D11,D5-D9-D12)</f>
        <v>600</v>
      </c>
      <c r="E14" s="36" t="n">
        <f aca="false">MAX(E11,E5-E9-E12)</f>
        <v>600</v>
      </c>
      <c r="F14" s="36" t="n">
        <f aca="false">MAX(F11,F5-F9-F12)</f>
        <v>600</v>
      </c>
      <c r="G14" s="36" t="n">
        <f aca="false">MAX(G11,G5-G9-G12)</f>
        <v>1335.58413256395</v>
      </c>
      <c r="H14" s="96"/>
      <c r="I14" s="68" t="s">
        <v>682</v>
      </c>
    </row>
    <row r="15" customFormat="false" ht="15" hidden="false" customHeight="false" outlineLevel="0" collapsed="false">
      <c r="B15" s="4" t="s">
        <v>683</v>
      </c>
      <c r="C15" s="97" t="n">
        <f aca="false">C14*C7</f>
        <v>612.882</v>
      </c>
      <c r="D15" s="97" t="n">
        <f aca="false">D14*D7</f>
        <v>612.882</v>
      </c>
      <c r="E15" s="97" t="n">
        <f aca="false">E14*E7</f>
        <v>612.882</v>
      </c>
      <c r="F15" s="97" t="n">
        <f aca="false">F14*F7</f>
        <v>612.882</v>
      </c>
      <c r="G15" s="97" t="n">
        <f aca="false">G14*G7</f>
        <v>1364.2591238901</v>
      </c>
      <c r="H15" s="96"/>
      <c r="I15" s="68"/>
    </row>
    <row r="16" customFormat="false" ht="15" hidden="false" customHeight="false" outlineLevel="0" collapsed="false">
      <c r="B16" s="4" t="s">
        <v>684</v>
      </c>
      <c r="C16" s="97" t="n">
        <f aca="false">C12*ENTRADAS!$C$25</f>
        <v>1088.51735114121</v>
      </c>
      <c r="D16" s="97" t="n">
        <f aca="false">D12*ENTRADAS!$C$25</f>
        <v>1088.51735114121</v>
      </c>
      <c r="E16" s="97" t="n">
        <f aca="false">E12*ENTRADAS!$C$25</f>
        <v>1105.32665268926</v>
      </c>
      <c r="F16" s="97" t="n">
        <f aca="false">F12*ENTRADAS!$C$25</f>
        <v>1105.32665268926</v>
      </c>
      <c r="G16" s="97" t="n">
        <f aca="false">G12*ENTRADAS!$C$25</f>
        <v>1016.60745520656</v>
      </c>
      <c r="H16" s="96"/>
      <c r="I16" s="68" t="s">
        <v>685</v>
      </c>
    </row>
    <row r="17" customFormat="false" ht="15" hidden="false" customHeight="false" outlineLevel="0" collapsed="false">
      <c r="B17" s="4" t="s">
        <v>686</v>
      </c>
      <c r="C17" s="97" t="n">
        <f aca="false">ENTRADAS!$C$26*12</f>
        <v>253.32</v>
      </c>
      <c r="D17" s="97" t="n">
        <f aca="false">ENTRADAS!$C$26*12</f>
        <v>253.32</v>
      </c>
      <c r="E17" s="97" t="n">
        <f aca="false">ENTRADAS!$C$26*12</f>
        <v>253.32</v>
      </c>
      <c r="F17" s="97" t="n">
        <f aca="false">ENTRADAS!$C$26*12</f>
        <v>253.32</v>
      </c>
      <c r="G17" s="97" t="n">
        <f aca="false">ENTRADAS!$C$26*12</f>
        <v>253.32</v>
      </c>
      <c r="H17" s="96"/>
      <c r="I17" s="68" t="s">
        <v>687</v>
      </c>
    </row>
    <row r="18" customFormat="false" ht="15" hidden="false" customHeight="false" outlineLevel="0" collapsed="false">
      <c r="B18" s="21" t="s">
        <v>688</v>
      </c>
      <c r="C18" s="47" t="n">
        <f aca="false">C15+C16+C17</f>
        <v>1954.71935114121</v>
      </c>
      <c r="D18" s="47" t="n">
        <f aca="false">D15+D16+D17</f>
        <v>1954.71935114121</v>
      </c>
      <c r="E18" s="47" t="n">
        <f aca="false">E15+E16+E17</f>
        <v>1971.52865268926</v>
      </c>
      <c r="F18" s="47" t="n">
        <f aca="false">F15+F16+F17</f>
        <v>1971.52865268926</v>
      </c>
      <c r="G18" s="47" t="n">
        <f aca="false">G15+G16+G17</f>
        <v>2634.18657909666</v>
      </c>
      <c r="H18" s="96"/>
      <c r="I18" s="68" t="s">
        <v>689</v>
      </c>
    </row>
    <row r="19" customFormat="false" ht="15" hidden="false" customHeight="false" outlineLevel="0" collapsed="false">
      <c r="B19" s="21" t="s">
        <v>690</v>
      </c>
      <c r="C19" s="47" t="n">
        <f aca="false">C18/12</f>
        <v>162.893279261767</v>
      </c>
      <c r="D19" s="47" t="n">
        <f aca="false">D18/12</f>
        <v>162.893279261767</v>
      </c>
      <c r="E19" s="47" t="n">
        <f aca="false">E18/12</f>
        <v>164.294054390772</v>
      </c>
      <c r="F19" s="47" t="n">
        <f aca="false">F18/12</f>
        <v>164.294054390772</v>
      </c>
      <c r="G19" s="47" t="n">
        <f aca="false">G18/12</f>
        <v>219.515548258055</v>
      </c>
      <c r="H19" s="96"/>
      <c r="I19" s="68" t="s">
        <v>691</v>
      </c>
    </row>
    <row r="20" customFormat="false" ht="15" hidden="false" customHeight="false" outlineLevel="0" collapsed="false">
      <c r="B20" s="4" t="s">
        <v>692</v>
      </c>
      <c r="C20" s="37" t="n">
        <f aca="false">IFERROR(1-C18/C8,0)</f>
        <v>0.770751452069489</v>
      </c>
      <c r="D20" s="37" t="n">
        <f aca="false">IFERROR(1-D18/D8,0)</f>
        <v>0.770751452069489</v>
      </c>
      <c r="E20" s="37" t="n">
        <f aca="false">IFERROR(1-E18/E8,0)</f>
        <v>0.768780065246431</v>
      </c>
      <c r="F20" s="37" t="n">
        <f aca="false">IFERROR(1-F18/F8,0)</f>
        <v>0.768780065246431</v>
      </c>
      <c r="G20" s="37" t="n">
        <f aca="false">IFERROR(1-G18/G8,0)</f>
        <v>0.69106386147792</v>
      </c>
      <c r="H20" s="96"/>
      <c r="I20" s="68"/>
    </row>
    <row r="21" customFormat="false" ht="15" hidden="false" customHeight="false" outlineLevel="0" collapsed="false">
      <c r="B21" s="4" t="s">
        <v>693</v>
      </c>
      <c r="C21" s="97" t="n">
        <f aca="false">C8-C18</f>
        <v>6571.91852197507</v>
      </c>
      <c r="D21" s="97" t="n">
        <f aca="false">D8-D18</f>
        <v>6571.91852197507</v>
      </c>
      <c r="E21" s="97" t="n">
        <f aca="false">E8-E18</f>
        <v>6555.10922042702</v>
      </c>
      <c r="F21" s="97" t="n">
        <f aca="false">F8-F18</f>
        <v>6555.10922042702</v>
      </c>
      <c r="G21" s="97" t="n">
        <f aca="false">G8-G18</f>
        <v>5892.45129401962</v>
      </c>
      <c r="H21" s="96"/>
      <c r="I21" s="68"/>
    </row>
    <row r="22" customFormat="false" ht="15" hidden="false" customHeight="false" outlineLevel="0" collapsed="false">
      <c r="B22" s="4" t="s">
        <v>694</v>
      </c>
      <c r="C22" s="97" t="n">
        <f aca="false">ENTRADAS!$C$35</f>
        <v>300</v>
      </c>
      <c r="D22" s="97" t="n">
        <f aca="false">ENTRADAS!$C$35</f>
        <v>300</v>
      </c>
      <c r="E22" s="97" t="n">
        <f aca="false">ENTRADAS!$C$35</f>
        <v>300</v>
      </c>
      <c r="F22" s="97" t="n">
        <f aca="false">ENTRADAS!$C$35</f>
        <v>300</v>
      </c>
      <c r="G22" s="97" t="n">
        <f aca="false">ENTRADAS!$C$35</f>
        <v>300</v>
      </c>
      <c r="H22" s="96"/>
      <c r="I22" s="68" t="s">
        <v>695</v>
      </c>
    </row>
    <row r="23" customFormat="false" ht="15" hidden="false" customHeight="false" outlineLevel="0" collapsed="false">
      <c r="B23" s="4" t="s">
        <v>696</v>
      </c>
      <c r="C23" s="97" t="n">
        <f aca="false">ENTRADAS!$C$36</f>
        <v>150</v>
      </c>
      <c r="D23" s="97" t="n">
        <f aca="false">ENTRADAS!$C$36</f>
        <v>150</v>
      </c>
      <c r="E23" s="97" t="n">
        <f aca="false">ENTRADAS!$C$36</f>
        <v>150</v>
      </c>
      <c r="F23" s="97" t="n">
        <f aca="false">ENTRADAS!$C$36</f>
        <v>150</v>
      </c>
      <c r="G23" s="97" t="n">
        <f aca="false">ENTRADAS!$C$36</f>
        <v>150</v>
      </c>
      <c r="H23" s="96"/>
      <c r="I23" s="68" t="s">
        <v>697</v>
      </c>
    </row>
    <row r="24" customFormat="false" ht="15" hidden="false" customHeight="false" outlineLevel="0" collapsed="false">
      <c r="B24" s="4" t="s">
        <v>698</v>
      </c>
      <c r="C24" s="97" t="n">
        <f aca="false">0</f>
        <v>0</v>
      </c>
      <c r="D24" s="97" t="n">
        <f aca="false">0</f>
        <v>0</v>
      </c>
      <c r="E24" s="97" t="n">
        <f aca="false">0</f>
        <v>0</v>
      </c>
      <c r="F24" s="97" t="n">
        <f aca="false">0</f>
        <v>0</v>
      </c>
      <c r="G24" s="97" t="n">
        <f aca="false">0</f>
        <v>0</v>
      </c>
      <c r="H24" s="96"/>
      <c r="I24" s="68" t="s">
        <v>699</v>
      </c>
    </row>
    <row r="25" customFormat="false" ht="15" hidden="false" customHeight="false" outlineLevel="0" collapsed="false">
      <c r="B25" s="4" t="s">
        <v>700</v>
      </c>
      <c r="C25" s="97" t="n">
        <f aca="false">C22+C23</f>
        <v>450</v>
      </c>
      <c r="D25" s="97" t="n">
        <f aca="false">D22+D23</f>
        <v>450</v>
      </c>
      <c r="E25" s="97" t="n">
        <f aca="false">E22+E23</f>
        <v>450</v>
      </c>
      <c r="F25" s="97" t="n">
        <f aca="false">F22+F23</f>
        <v>450</v>
      </c>
      <c r="G25" s="97" t="n">
        <f aca="false">G22+G23</f>
        <v>450</v>
      </c>
      <c r="H25" s="96"/>
      <c r="I25" s="68"/>
    </row>
    <row r="26" customFormat="false" ht="15" hidden="false" customHeight="false" outlineLevel="0" collapsed="false">
      <c r="B26" s="21" t="s">
        <v>701</v>
      </c>
      <c r="C26" s="99" t="n">
        <f aca="false">C21-C25</f>
        <v>6121.91852197507</v>
      </c>
      <c r="D26" s="99" t="n">
        <f aca="false">D21-D25</f>
        <v>6121.91852197507</v>
      </c>
      <c r="E26" s="99" t="n">
        <f aca="false">E21-E25</f>
        <v>6105.10922042702</v>
      </c>
      <c r="F26" s="99" t="n">
        <f aca="false">F21-F25</f>
        <v>6105.10922042702</v>
      </c>
      <c r="G26" s="99" t="n">
        <f aca="false">G21-G25</f>
        <v>5442.45129401962</v>
      </c>
      <c r="H26" s="96"/>
      <c r="I26" s="68" t="s">
        <v>702</v>
      </c>
    </row>
    <row r="28" customFormat="false" ht="15" hidden="false" customHeight="false" outlineLevel="0" collapsed="false">
      <c r="B28" s="7" t="s">
        <v>703</v>
      </c>
      <c r="C28" s="8"/>
      <c r="D28" s="8"/>
      <c r="E28" s="8"/>
      <c r="F28" s="8"/>
      <c r="G28" s="8"/>
      <c r="H28" s="8"/>
      <c r="I28" s="8"/>
    </row>
    <row r="29" customFormat="false" ht="15" hidden="false" customHeight="false" outlineLevel="0" collapsed="false">
      <c r="B29" s="4" t="s">
        <v>704</v>
      </c>
      <c r="C29" s="12" t="n">
        <f aca="false">BYD!$F$33*12</f>
        <v>4576</v>
      </c>
      <c r="I29" s="2" t="s">
        <v>705</v>
      </c>
    </row>
    <row r="30" customFormat="false" ht="15" hidden="false" customHeight="false" outlineLevel="0" collapsed="false">
      <c r="B30" s="4" t="s">
        <v>706</v>
      </c>
      <c r="C30" s="12" t="n">
        <f aca="false">BYD!$F$34*12</f>
        <v>7042.97674418605</v>
      </c>
      <c r="I30" s="2" t="s">
        <v>707</v>
      </c>
    </row>
    <row r="31" customFormat="false" ht="15" hidden="false" customHeight="false" outlineLevel="0" collapsed="false">
      <c r="B31" s="4" t="s">
        <v>708</v>
      </c>
      <c r="C31" s="12" t="n">
        <f aca="false">C30-C29</f>
        <v>2466.97674418605</v>
      </c>
      <c r="I31" s="2" t="s">
        <v>709</v>
      </c>
    </row>
    <row r="32" customFormat="false" ht="15" hidden="false" customHeight="false" outlineLevel="0" collapsed="false">
      <c r="B32" s="4" t="s">
        <v>710</v>
      </c>
      <c r="C32" s="30" t="n">
        <f aca="false">IFERROR(C30/C29-1,0)</f>
        <v>0.539112050739958</v>
      </c>
      <c r="I32" s="2" t="s">
        <v>711</v>
      </c>
    </row>
    <row r="33" customFormat="false" ht="15" hidden="false" customHeight="false" outlineLevel="0" collapsed="false">
      <c r="B33" s="4" t="s">
        <v>712</v>
      </c>
      <c r="C33" s="15" t="n">
        <f aca="false">C29*ENTRADAS!C18+ENTRADAS!C26*12</f>
        <v>4927.56672</v>
      </c>
      <c r="I33" s="2" t="s">
        <v>713</v>
      </c>
    </row>
    <row r="34" customFormat="false" ht="15" hidden="false" customHeight="false" outlineLevel="0" collapsed="false">
      <c r="B34" s="4" t="s">
        <v>714</v>
      </c>
      <c r="C34" s="15" t="n">
        <f aca="false">C30*ENTRADAS!C18+ENTRADAS!C26*12</f>
        <v>7447.50945488372</v>
      </c>
      <c r="I34" s="2" t="s">
        <v>715</v>
      </c>
    </row>
    <row r="35" customFormat="false" ht="15" hidden="false" customHeight="false" outlineLevel="0" collapsed="false">
      <c r="B35" s="4" t="s">
        <v>716</v>
      </c>
      <c r="C35" s="15" t="n">
        <f aca="false">C31*ENTRADAS!C18</f>
        <v>2519.94273488372</v>
      </c>
      <c r="I35" s="2" t="s">
        <v>717</v>
      </c>
    </row>
    <row r="36" customFormat="false" ht="15" hidden="false" customHeight="false" outlineLevel="0" collapsed="false">
      <c r="B36" s="4" t="s">
        <v>718</v>
      </c>
      <c r="C36" s="15" t="n">
        <f aca="false">C31*ENTRADAS!C25</f>
        <v>529.696418232558</v>
      </c>
      <c r="I36" s="2" t="s">
        <v>719</v>
      </c>
    </row>
    <row r="37" customFormat="false" ht="15" hidden="false" customHeight="false" outlineLevel="0" collapsed="false">
      <c r="B37" s="21" t="s">
        <v>720</v>
      </c>
      <c r="C37" s="23" t="n">
        <f aca="false">C35-C36</f>
        <v>1990.24631665116</v>
      </c>
      <c r="I37" s="2" t="s">
        <v>721</v>
      </c>
    </row>
    <row r="38" customFormat="false" ht="15" hidden="false" customHeight="false" outlineLevel="0" collapsed="false">
      <c r="B38" s="4" t="s">
        <v>722</v>
      </c>
      <c r="C38" s="12" t="n">
        <f aca="false">IFERROR(ROUNDUP(C31/GERACAO!I17*1000/615,0),0)</f>
        <v>4</v>
      </c>
      <c r="I38" s="2" t="s">
        <v>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21" min="4" style="0" width="14"/>
  </cols>
  <sheetData>
    <row r="1" customFormat="false" ht="17.35" hidden="false" customHeight="false" outlineLevel="0" collapsed="false">
      <c r="A1" s="1" t="s">
        <v>724</v>
      </c>
    </row>
    <row r="2" customFormat="false" ht="15" hidden="false" customHeight="false" outlineLevel="0" collapsed="false">
      <c r="A2" s="2" t="s">
        <v>725</v>
      </c>
    </row>
    <row r="4" customFormat="false" ht="43.5" hidden="false" customHeight="true" outlineLevel="0" collapsed="false">
      <c r="B4" s="17" t="s">
        <v>726</v>
      </c>
      <c r="C4" s="17" t="s">
        <v>727</v>
      </c>
      <c r="D4" s="17" t="s">
        <v>728</v>
      </c>
      <c r="E4" s="17" t="s">
        <v>729</v>
      </c>
      <c r="F4" s="17" t="s">
        <v>730</v>
      </c>
      <c r="G4" s="17" t="s">
        <v>731</v>
      </c>
      <c r="H4" s="17" t="s">
        <v>732</v>
      </c>
      <c r="I4" s="17" t="s">
        <v>733</v>
      </c>
      <c r="J4" s="17" t="s">
        <v>734</v>
      </c>
      <c r="K4" s="17" t="s">
        <v>735</v>
      </c>
      <c r="L4" s="17" t="s">
        <v>736</v>
      </c>
      <c r="M4" s="17" t="s">
        <v>737</v>
      </c>
      <c r="N4" s="17" t="s">
        <v>738</v>
      </c>
      <c r="O4" s="17" t="s">
        <v>739</v>
      </c>
      <c r="P4" s="17" t="s">
        <v>740</v>
      </c>
      <c r="Q4" s="17" t="s">
        <v>741</v>
      </c>
      <c r="R4" s="17" t="s">
        <v>742</v>
      </c>
    </row>
    <row r="6" customFormat="false" ht="15" hidden="false" customHeight="false" outlineLevel="0" collapsed="false">
      <c r="B6" s="100" t="n">
        <v>1</v>
      </c>
      <c r="C6" s="37" t="n">
        <f aca="false">(1-ENTRADAS!$C$33)*(1-ENTRADAS!$C$34)^(1-1)</f>
        <v>0.98</v>
      </c>
      <c r="D6" s="101" t="n">
        <f aca="false">ECONOMIA!C$26*C6/$C$6*(1+ENTRADAS!$C$27)^(1-1)</f>
        <v>6121.91852197507</v>
      </c>
      <c r="E6" s="101" t="n">
        <f aca="false">D6</f>
        <v>6121.91852197507</v>
      </c>
      <c r="F6" s="101" t="n">
        <f aca="false">E6-COMPARATIVO!C$23</f>
        <v>-23676.7814780249</v>
      </c>
      <c r="G6" s="101" t="n">
        <f aca="false">ECONOMIA!D$26*C6/$C$6*(1+ENTRADAS!$C$27)^(1-1)</f>
        <v>6121.91852197507</v>
      </c>
      <c r="H6" s="101" t="n">
        <f aca="false">G6</f>
        <v>6121.91852197507</v>
      </c>
      <c r="I6" s="101" t="n">
        <f aca="false">H6-COMPARATIVO!D$23</f>
        <v>-22755.9814780249</v>
      </c>
      <c r="J6" s="101" t="n">
        <f aca="false">ECONOMIA!E$26*C6/$C$6*(1+ENTRADAS!$C$27)^(1-1)</f>
        <v>6105.10922042702</v>
      </c>
      <c r="K6" s="101" t="n">
        <f aca="false">J6</f>
        <v>6105.10922042702</v>
      </c>
      <c r="L6" s="101" t="n">
        <f aca="false">K6-COMPARATIVO!E$23</f>
        <v>-12415.230779573</v>
      </c>
      <c r="M6" s="101" t="n">
        <f aca="false">ECONOMIA!F$26*C6/$C$6*(1+ENTRADAS!$C$27)^(1-1)</f>
        <v>6105.10922042702</v>
      </c>
      <c r="N6" s="101" t="n">
        <f aca="false">M6</f>
        <v>6105.10922042702</v>
      </c>
      <c r="O6" s="101" t="n">
        <f aca="false">N6-COMPARATIVO!F$23</f>
        <v>-13415.230779573</v>
      </c>
      <c r="P6" s="101" t="n">
        <f aca="false">ECONOMIA!G$26*C6/$C$6*(1+ENTRADAS!$C$27)^(1-1)</f>
        <v>5442.45129401962</v>
      </c>
      <c r="Q6" s="101" t="n">
        <f aca="false">P6</f>
        <v>5442.45129401962</v>
      </c>
      <c r="R6" s="101" t="n">
        <f aca="false">Q6-COMPARATIVO!G$23</f>
        <v>-15906.4587059804</v>
      </c>
      <c r="S6" s="96"/>
    </row>
    <row r="7" customFormat="false" ht="15" hidden="false" customHeight="false" outlineLevel="0" collapsed="false">
      <c r="B7" s="100" t="n">
        <v>2</v>
      </c>
      <c r="C7" s="37" t="n">
        <f aca="false">(1-ENTRADAS!$C$33)*(1-ENTRADAS!$C$34)^(2-1)</f>
        <v>0.97559</v>
      </c>
      <c r="D7" s="101" t="n">
        <f aca="false">ECONOMIA!C$26*C7/$C$6*(1+ENTRADAS!$C$27)^(2-1)</f>
        <v>6520.97578083002</v>
      </c>
      <c r="E7" s="101" t="n">
        <f aca="false">E6+D7</f>
        <v>12642.8943028051</v>
      </c>
      <c r="F7" s="101" t="n">
        <f aca="false">E7-COMPARATIVO!C$23</f>
        <v>-17155.8056971949</v>
      </c>
      <c r="G7" s="101" t="n">
        <f aca="false">ECONOMIA!D$26*C7/$C$6*(1+ENTRADAS!$C$27)^(2-1)</f>
        <v>6520.97578083002</v>
      </c>
      <c r="H7" s="101" t="n">
        <f aca="false">H6+G7</f>
        <v>12642.8943028051</v>
      </c>
      <c r="I7" s="101" t="n">
        <f aca="false">H7-COMPARATIVO!D$23</f>
        <v>-16235.0056971949</v>
      </c>
      <c r="J7" s="101" t="n">
        <f aca="false">ECONOMIA!E$26*C7/$C$6*(1+ENTRADAS!$C$27)^(2-1)</f>
        <v>6503.07076496056</v>
      </c>
      <c r="K7" s="101" t="n">
        <f aca="false">K6+J7</f>
        <v>12608.1799853876</v>
      </c>
      <c r="L7" s="101" t="n">
        <f aca="false">K7-COMPARATIVO!E$23</f>
        <v>-5912.16001461242</v>
      </c>
      <c r="M7" s="101" t="n">
        <f aca="false">ECONOMIA!F$26*C7/$C$6*(1+ENTRADAS!$C$27)^(2-1)</f>
        <v>6503.07076496056</v>
      </c>
      <c r="N7" s="101" t="n">
        <f aca="false">N6+M7</f>
        <v>12608.1799853876</v>
      </c>
      <c r="O7" s="101" t="n">
        <f aca="false">N7-COMPARATIVO!F$23</f>
        <v>-6912.16001461242</v>
      </c>
      <c r="P7" s="101" t="n">
        <f aca="false">ECONOMIA!G$26*C7/$C$6*(1+ENTRADAS!$C$27)^(2-1)</f>
        <v>5797.21748162029</v>
      </c>
      <c r="Q7" s="101" t="n">
        <f aca="false">Q6+P7</f>
        <v>11239.6687756399</v>
      </c>
      <c r="R7" s="101" t="n">
        <f aca="false">Q7-COMPARATIVO!G$23</f>
        <v>-10109.2412243601</v>
      </c>
      <c r="S7" s="96"/>
    </row>
    <row r="8" customFormat="false" ht="15" hidden="false" customHeight="false" outlineLevel="0" collapsed="false">
      <c r="B8" s="100" t="n">
        <v>3</v>
      </c>
      <c r="C8" s="37" t="n">
        <f aca="false">(1-ENTRADAS!$C$33)*(1-ENTRADAS!$C$34)^(3-1)</f>
        <v>0.971199845</v>
      </c>
      <c r="D8" s="101" t="n">
        <f aca="false">ECONOMIA!C$26*C8/$C$6*(1+ENTRADAS!$C$27)^(3-1)</f>
        <v>6946.04558710342</v>
      </c>
      <c r="E8" s="101" t="n">
        <f aca="false">E7+D8</f>
        <v>19588.9398899085</v>
      </c>
      <c r="F8" s="101" t="n">
        <f aca="false">E8-COMPARATIVO!C$23</f>
        <v>-10209.7601100915</v>
      </c>
      <c r="G8" s="101" t="n">
        <f aca="false">ECONOMIA!D$26*C8/$C$6*(1+ENTRADAS!$C$27)^(3-1)</f>
        <v>6946.04558710342</v>
      </c>
      <c r="H8" s="101" t="n">
        <f aca="false">H7+G8</f>
        <v>19588.9398899085</v>
      </c>
      <c r="I8" s="101" t="n">
        <f aca="false">H8-COMPARATIVO!D$23</f>
        <v>-9288.9601100915</v>
      </c>
      <c r="J8" s="101" t="n">
        <f aca="false">ECONOMIA!E$26*C8/$C$6*(1+ENTRADAS!$C$27)^(3-1)</f>
        <v>6926.97343277451</v>
      </c>
      <c r="K8" s="101" t="n">
        <f aca="false">K7+J8</f>
        <v>19535.1534181621</v>
      </c>
      <c r="L8" s="101" t="n">
        <f aca="false">K8-COMPARATIVO!E$23</f>
        <v>1014.8134181621</v>
      </c>
      <c r="M8" s="101" t="n">
        <f aca="false">ECONOMIA!F$26*C8/$C$6*(1+ENTRADAS!$C$27)^(3-1)</f>
        <v>6926.97343277451</v>
      </c>
      <c r="N8" s="101" t="n">
        <f aca="false">N7+M8</f>
        <v>19535.1534181621</v>
      </c>
      <c r="O8" s="101" t="n">
        <f aca="false">N8-COMPARATIVO!F$23</f>
        <v>14.8134181620953</v>
      </c>
      <c r="P8" s="101" t="n">
        <f aca="false">ECONOMIA!G$26*C8/$C$6*(1+ENTRADAS!$C$27)^(3-1)</f>
        <v>6175.10910315971</v>
      </c>
      <c r="Q8" s="101" t="n">
        <f aca="false">Q7+P8</f>
        <v>17414.7778787996</v>
      </c>
      <c r="R8" s="101" t="n">
        <f aca="false">Q8-COMPARATIVO!G$23</f>
        <v>-3934.13212120039</v>
      </c>
      <c r="S8" s="96"/>
    </row>
    <row r="9" customFormat="false" ht="15" hidden="false" customHeight="false" outlineLevel="0" collapsed="false">
      <c r="B9" s="100" t="n">
        <v>4</v>
      </c>
      <c r="C9" s="37" t="n">
        <f aca="false">(1-ENTRADAS!$C$33)*(1-ENTRADAS!$C$34)^(4-1)</f>
        <v>0.9668294456975</v>
      </c>
      <c r="D9" s="101" t="n">
        <f aca="false">ECONOMIA!C$26*C9/$C$6*(1+ENTRADAS!$C$27)^(4-1)</f>
        <v>7398.82356869876</v>
      </c>
      <c r="E9" s="101" t="n">
        <f aca="false">E8+D9</f>
        <v>26987.7634586073</v>
      </c>
      <c r="F9" s="101" t="n">
        <f aca="false">E9-COMPARATIVO!C$23</f>
        <v>-2810.93654139274</v>
      </c>
      <c r="G9" s="101" t="n">
        <f aca="false">ECONOMIA!D$26*C9/$C$6*(1+ENTRADAS!$C$27)^(4-1)</f>
        <v>7398.82356869876</v>
      </c>
      <c r="H9" s="101" t="n">
        <f aca="false">H8+G9</f>
        <v>26987.7634586073</v>
      </c>
      <c r="I9" s="101" t="n">
        <f aca="false">H9-COMPARATIVO!D$23</f>
        <v>-1890.13654139274</v>
      </c>
      <c r="J9" s="101" t="n">
        <f aca="false">ECONOMIA!E$26*C9/$C$6*(1+ENTRADAS!$C$27)^(4-1)</f>
        <v>7378.50819598992</v>
      </c>
      <c r="K9" s="101" t="n">
        <f aca="false">K8+J9</f>
        <v>26913.661614152</v>
      </c>
      <c r="L9" s="101" t="n">
        <f aca="false">K9-COMPARATIVO!E$23</f>
        <v>8393.32161415201</v>
      </c>
      <c r="M9" s="101" t="n">
        <f aca="false">ECONOMIA!F$26*C9/$C$6*(1+ENTRADAS!$C$27)^(4-1)</f>
        <v>7378.50819598992</v>
      </c>
      <c r="N9" s="101" t="n">
        <f aca="false">N8+M9</f>
        <v>26913.661614152</v>
      </c>
      <c r="O9" s="101" t="n">
        <f aca="false">N9-COMPARATIVO!F$23</f>
        <v>7393.32161415201</v>
      </c>
      <c r="P9" s="101" t="n">
        <f aca="false">ECONOMIA!G$26*C9/$C$6*(1+ENTRADAS!$C$27)^(4-1)</f>
        <v>6577.63359004917</v>
      </c>
      <c r="Q9" s="101" t="n">
        <f aca="false">Q8+P9</f>
        <v>23992.4114688488</v>
      </c>
      <c r="R9" s="101" t="n">
        <f aca="false">Q9-COMPARATIVO!G$23</f>
        <v>2643.50146884879</v>
      </c>
      <c r="S9" s="96"/>
    </row>
    <row r="10" customFormat="false" ht="15" hidden="false" customHeight="false" outlineLevel="0" collapsed="false">
      <c r="B10" s="102" t="n">
        <v>5</v>
      </c>
      <c r="C10" s="103" t="n">
        <f aca="false">(1-ENTRADAS!$C$33)*(1-ENTRADAS!$C$34)^(5-1)</f>
        <v>0.962478713191861</v>
      </c>
      <c r="D10" s="104" t="n">
        <f aca="false">ECONOMIA!C$26*C10/$C$6*(1+ENTRADAS!$C$27)^(5-1)</f>
        <v>7881.11588302439</v>
      </c>
      <c r="E10" s="104" t="n">
        <f aca="false">E9+D10</f>
        <v>34868.8793416317</v>
      </c>
      <c r="F10" s="104" t="n">
        <f aca="false">E10-COMPARATIVO!C$23</f>
        <v>5070.17934163165</v>
      </c>
      <c r="G10" s="104" t="n">
        <f aca="false">ECONOMIA!D$26*C10/$C$6*(1+ENTRADAS!$C$27)^(5-1)</f>
        <v>7881.11588302439</v>
      </c>
      <c r="H10" s="104" t="n">
        <f aca="false">H9+G10</f>
        <v>34868.8793416317</v>
      </c>
      <c r="I10" s="104" t="n">
        <f aca="false">H10-COMPARATIVO!D$23</f>
        <v>5990.97934163165</v>
      </c>
      <c r="J10" s="104" t="n">
        <f aca="false">ECONOMIA!E$26*C10/$C$6*(1+ENTRADAS!$C$27)^(5-1)</f>
        <v>7859.47625274552</v>
      </c>
      <c r="K10" s="104" t="n">
        <f aca="false">K9+J10</f>
        <v>34773.1378668975</v>
      </c>
      <c r="L10" s="104" t="n">
        <f aca="false">K10-COMPARATIVO!E$23</f>
        <v>16252.7978668975</v>
      </c>
      <c r="M10" s="104" t="n">
        <f aca="false">ECONOMIA!F$26*C10/$C$6*(1+ENTRADAS!$C$27)^(5-1)</f>
        <v>7859.47625274552</v>
      </c>
      <c r="N10" s="104" t="n">
        <f aca="false">N9+M10</f>
        <v>34773.1378668975</v>
      </c>
      <c r="O10" s="104" t="n">
        <f aca="false">N10-COMPARATIVO!F$23</f>
        <v>15252.7978668975</v>
      </c>
      <c r="P10" s="104" t="n">
        <f aca="false">ECONOMIA!G$26*C10/$C$6*(1+ENTRADAS!$C$27)^(5-1)</f>
        <v>7006.39663561653</v>
      </c>
      <c r="Q10" s="104" t="n">
        <f aca="false">Q9+P10</f>
        <v>30998.8081044653</v>
      </c>
      <c r="R10" s="104" t="n">
        <f aca="false">Q10-COMPARATIVO!G$23</f>
        <v>9649.89810446532</v>
      </c>
      <c r="S10" s="41"/>
    </row>
    <row r="11" customFormat="false" ht="15" hidden="false" customHeight="false" outlineLevel="0" collapsed="false">
      <c r="B11" s="100" t="n">
        <v>6</v>
      </c>
      <c r="C11" s="37" t="n">
        <f aca="false">(1-ENTRADAS!$C$33)*(1-ENTRADAS!$C$34)^(6-1)</f>
        <v>0.958147558982498</v>
      </c>
      <c r="D11" s="101" t="n">
        <f aca="false">ECONOMIA!C$26*C11/$C$6*(1+ENTRADAS!$C$27)^(6-1)</f>
        <v>8394.84642185933</v>
      </c>
      <c r="E11" s="101" t="n">
        <f aca="false">E10+D11</f>
        <v>43263.725763491</v>
      </c>
      <c r="F11" s="101" t="n">
        <f aca="false">E11-COMPARATIVO!C$23</f>
        <v>13465.025763491</v>
      </c>
      <c r="G11" s="101" t="n">
        <f aca="false">ECONOMIA!D$26*C11/$C$6*(1+ENTRADAS!$C$27)^(6-1)</f>
        <v>8394.84642185933</v>
      </c>
      <c r="H11" s="101" t="n">
        <f aca="false">H10+G11</f>
        <v>43263.725763491</v>
      </c>
      <c r="I11" s="101" t="n">
        <f aca="false">H11-COMPARATIVO!D$23</f>
        <v>14385.825763491</v>
      </c>
      <c r="J11" s="101" t="n">
        <f aca="false">ECONOMIA!E$26*C11/$C$6*(1+ENTRADAS!$C$27)^(6-1)</f>
        <v>8371.79621228074</v>
      </c>
      <c r="K11" s="101" t="n">
        <f aca="false">K10+J11</f>
        <v>43144.9340791783</v>
      </c>
      <c r="L11" s="101" t="n">
        <f aca="false">K11-COMPARATIVO!E$23</f>
        <v>24624.5940791783</v>
      </c>
      <c r="M11" s="101" t="n">
        <f aca="false">ECONOMIA!F$26*C11/$C$6*(1+ENTRADAS!$C$27)^(6-1)</f>
        <v>8371.79621228074</v>
      </c>
      <c r="N11" s="101" t="n">
        <f aca="false">N10+M11</f>
        <v>43144.9340791783</v>
      </c>
      <c r="O11" s="101" t="n">
        <f aca="false">N11-COMPARATIVO!F$23</f>
        <v>23624.5940791783</v>
      </c>
      <c r="P11" s="101" t="n">
        <f aca="false">ECONOMIA!G$26*C11/$C$6*(1+ENTRADAS!$C$27)^(6-1)</f>
        <v>7463.10860030919</v>
      </c>
      <c r="Q11" s="101" t="n">
        <f aca="false">Q10+P11</f>
        <v>38461.9167047745</v>
      </c>
      <c r="R11" s="101" t="n">
        <f aca="false">Q11-COMPARATIVO!G$23</f>
        <v>17113.0067047745</v>
      </c>
      <c r="S11" s="96"/>
    </row>
    <row r="12" customFormat="false" ht="15" hidden="false" customHeight="false" outlineLevel="0" collapsed="false">
      <c r="B12" s="100" t="n">
        <v>7</v>
      </c>
      <c r="C12" s="37" t="n">
        <f aca="false">(1-ENTRADAS!$C$33)*(1-ENTRADAS!$C$34)^(7-1)</f>
        <v>0.953835894967077</v>
      </c>
      <c r="D12" s="101" t="n">
        <f aca="false">ECONOMIA!C$26*C12/$C$6*(1+ENTRADAS!$C$27)^(7-1)</f>
        <v>8942.06448586824</v>
      </c>
      <c r="E12" s="101" t="n">
        <f aca="false">E11+D12</f>
        <v>52205.7902493592</v>
      </c>
      <c r="F12" s="101" t="n">
        <f aca="false">E12-COMPARATIVO!C$23</f>
        <v>22407.0902493592</v>
      </c>
      <c r="G12" s="101" t="n">
        <f aca="false">ECONOMIA!D$26*C12/$C$6*(1+ENTRADAS!$C$27)^(7-1)</f>
        <v>8942.06448586824</v>
      </c>
      <c r="H12" s="101" t="n">
        <f aca="false">H11+G12</f>
        <v>52205.7902493592</v>
      </c>
      <c r="I12" s="101" t="n">
        <f aca="false">H12-COMPARATIVO!D$23</f>
        <v>23327.8902493592</v>
      </c>
      <c r="J12" s="101" t="n">
        <f aca="false">ECONOMIA!E$26*C12/$C$6*(1+ENTRADAS!$C$27)^(7-1)</f>
        <v>8917.51174837826</v>
      </c>
      <c r="K12" s="101" t="n">
        <f aca="false">K11+J12</f>
        <v>52062.4458275565</v>
      </c>
      <c r="L12" s="101" t="n">
        <f aca="false">K12-COMPARATIVO!E$23</f>
        <v>33542.1058275565</v>
      </c>
      <c r="M12" s="101" t="n">
        <f aca="false">ECONOMIA!F$26*C12/$C$6*(1+ENTRADAS!$C$27)^(7-1)</f>
        <v>8917.51174837826</v>
      </c>
      <c r="N12" s="101" t="n">
        <f aca="false">N11+M12</f>
        <v>52062.4458275565</v>
      </c>
      <c r="O12" s="101" t="n">
        <f aca="false">N12-COMPARATIVO!F$23</f>
        <v>32542.1058275565</v>
      </c>
      <c r="P12" s="101" t="n">
        <f aca="false">ECONOMIA!G$26*C12/$C$6*(1+ENTRADAS!$C$27)^(7-1)</f>
        <v>7949.59133442035</v>
      </c>
      <c r="Q12" s="101" t="n">
        <f aca="false">Q11+P12</f>
        <v>46411.5080391949</v>
      </c>
      <c r="R12" s="101" t="n">
        <f aca="false">Q12-COMPARATIVO!G$23</f>
        <v>25062.5980391949</v>
      </c>
      <c r="S12" s="96"/>
    </row>
    <row r="13" customFormat="false" ht="15" hidden="false" customHeight="false" outlineLevel="0" collapsed="false">
      <c r="B13" s="100" t="n">
        <v>8</v>
      </c>
      <c r="C13" s="37" t="n">
        <f aca="false">(1-ENTRADAS!$C$33)*(1-ENTRADAS!$C$34)^(8-1)</f>
        <v>0.949543633439725</v>
      </c>
      <c r="D13" s="101" t="n">
        <f aca="false">ECONOMIA!C$26*C13/$C$6*(1+ENTRADAS!$C$27)^(8-1)</f>
        <v>9524.95295937956</v>
      </c>
      <c r="E13" s="101" t="n">
        <f aca="false">E12+D13</f>
        <v>61730.7432087388</v>
      </c>
      <c r="F13" s="101" t="n">
        <f aca="false">E13-COMPARATIVO!C$23</f>
        <v>31932.0432087388</v>
      </c>
      <c r="G13" s="101" t="n">
        <f aca="false">ECONOMIA!D$26*C13/$C$6*(1+ENTRADAS!$C$27)^(8-1)</f>
        <v>9524.95295937956</v>
      </c>
      <c r="H13" s="101" t="n">
        <f aca="false">H12+G13</f>
        <v>61730.7432087388</v>
      </c>
      <c r="I13" s="101" t="n">
        <f aca="false">H13-COMPARATIVO!D$23</f>
        <v>32852.8432087388</v>
      </c>
      <c r="J13" s="101" t="n">
        <f aca="false">ECONOMIA!E$26*C13/$C$6*(1+ENTRADAS!$C$27)^(8-1)</f>
        <v>9498.7997516963</v>
      </c>
      <c r="K13" s="101" t="n">
        <f aca="false">K12+J13</f>
        <v>61561.2455792528</v>
      </c>
      <c r="L13" s="101" t="n">
        <f aca="false">K13-COMPARATIVO!E$23</f>
        <v>43040.9055792528</v>
      </c>
      <c r="M13" s="101" t="n">
        <f aca="false">ECONOMIA!F$26*C13/$C$6*(1+ENTRADAS!$C$27)^(8-1)</f>
        <v>9498.7997516963</v>
      </c>
      <c r="N13" s="101" t="n">
        <f aca="false">N12+M13</f>
        <v>61561.2455792528</v>
      </c>
      <c r="O13" s="101" t="n">
        <f aca="false">N13-COMPARATIVO!F$23</f>
        <v>42040.9055792528</v>
      </c>
      <c r="P13" s="101" t="n">
        <f aca="false">ECONOMIA!G$26*C13/$C$6*(1+ENTRADAS!$C$27)^(8-1)</f>
        <v>8467.78544555454</v>
      </c>
      <c r="Q13" s="101" t="n">
        <f aca="false">Q12+P13</f>
        <v>54879.2934847494</v>
      </c>
      <c r="R13" s="101" t="n">
        <f aca="false">Q13-COMPARATIVO!G$23</f>
        <v>33530.3834847494</v>
      </c>
      <c r="S13" s="96"/>
    </row>
    <row r="14" customFormat="false" ht="15" hidden="false" customHeight="false" outlineLevel="0" collapsed="false">
      <c r="B14" s="100" t="n">
        <v>9</v>
      </c>
      <c r="C14" s="37" t="n">
        <f aca="false">(1-ENTRADAS!$C$33)*(1-ENTRADAS!$C$34)^(9-1)</f>
        <v>0.945270687089246</v>
      </c>
      <c r="D14" s="101" t="n">
        <f aca="false">ECONOMIA!C$26*C14/$C$6*(1+ENTRADAS!$C$27)^(9-1)</f>
        <v>10145.8370180367</v>
      </c>
      <c r="E14" s="101" t="n">
        <f aca="false">E13+D14</f>
        <v>71876.5802267755</v>
      </c>
      <c r="F14" s="101" t="n">
        <f aca="false">E14-COMPARATIVO!C$23</f>
        <v>42077.8802267755</v>
      </c>
      <c r="G14" s="101" t="n">
        <f aca="false">ECONOMIA!D$26*C14/$C$6*(1+ENTRADAS!$C$27)^(9-1)</f>
        <v>10145.8370180367</v>
      </c>
      <c r="H14" s="101" t="n">
        <f aca="false">H13+G14</f>
        <v>71876.5802267755</v>
      </c>
      <c r="I14" s="101" t="n">
        <f aca="false">H14-COMPARATIVO!D$23</f>
        <v>42998.6802267755</v>
      </c>
      <c r="J14" s="101" t="n">
        <f aca="false">ECONOMIA!E$26*C14/$C$6*(1+ENTRADAS!$C$27)^(9-1)</f>
        <v>10117.9790135106</v>
      </c>
      <c r="K14" s="101" t="n">
        <f aca="false">K13+J14</f>
        <v>71679.2245927635</v>
      </c>
      <c r="L14" s="101" t="n">
        <f aca="false">K14-COMPARATIVO!E$23</f>
        <v>53158.8845927635</v>
      </c>
      <c r="M14" s="101" t="n">
        <f aca="false">ECONOMIA!F$26*C14/$C$6*(1+ENTRADAS!$C$27)^(9-1)</f>
        <v>10117.9790135106</v>
      </c>
      <c r="N14" s="101" t="n">
        <f aca="false">N13+M14</f>
        <v>71679.2245927635</v>
      </c>
      <c r="O14" s="101" t="n">
        <f aca="false">N14-COMPARATIVO!F$23</f>
        <v>52158.8845927635</v>
      </c>
      <c r="P14" s="101" t="n">
        <f aca="false">ECONOMIA!G$26*C14/$C$6*(1+ENTRADAS!$C$27)^(9-1)</f>
        <v>9019.75803982302</v>
      </c>
      <c r="Q14" s="101" t="n">
        <f aca="false">Q13+P14</f>
        <v>63899.0515245724</v>
      </c>
      <c r="R14" s="101" t="n">
        <f aca="false">Q14-COMPARATIVO!G$23</f>
        <v>42550.1415245724</v>
      </c>
      <c r="S14" s="96"/>
    </row>
    <row r="15" customFormat="false" ht="15" hidden="false" customHeight="false" outlineLevel="0" collapsed="false">
      <c r="B15" s="102" t="n">
        <v>10</v>
      </c>
      <c r="C15" s="103" t="n">
        <f aca="false">(1-ENTRADAS!$C$33)*(1-ENTRADAS!$C$34)^(10-1)</f>
        <v>0.941016968997345</v>
      </c>
      <c r="D15" s="104" t="n">
        <f aca="false">ECONOMIA!C$26*C15/$C$6*(1+ENTRADAS!$C$27)^(10-1)</f>
        <v>10807.1934040574</v>
      </c>
      <c r="E15" s="104" t="n">
        <f aca="false">E14+D15</f>
        <v>82683.773630833</v>
      </c>
      <c r="F15" s="104" t="n">
        <f aca="false">E15-COMPARATIVO!C$23</f>
        <v>52885.073630833</v>
      </c>
      <c r="G15" s="104" t="n">
        <f aca="false">ECONOMIA!D$26*C15/$C$6*(1+ENTRADAS!$C$27)^(10-1)</f>
        <v>10807.1934040574</v>
      </c>
      <c r="H15" s="104" t="n">
        <f aca="false">H14+G15</f>
        <v>82683.773630833</v>
      </c>
      <c r="I15" s="104" t="n">
        <f aca="false">H15-COMPARATIVO!D$23</f>
        <v>53805.8736308329</v>
      </c>
      <c r="J15" s="104" t="n">
        <f aca="false">ECONOMIA!E$26*C15/$C$6*(1+ENTRADAS!$C$27)^(10-1)</f>
        <v>10777.5194755063</v>
      </c>
      <c r="K15" s="104" t="n">
        <f aca="false">K14+J15</f>
        <v>82456.7440682698</v>
      </c>
      <c r="L15" s="104" t="n">
        <f aca="false">K15-COMPARATIVO!E$23</f>
        <v>63936.4040682698</v>
      </c>
      <c r="M15" s="104" t="n">
        <f aca="false">ECONOMIA!F$26*C15/$C$6*(1+ENTRADAS!$C$27)^(10-1)</f>
        <v>10777.5194755063</v>
      </c>
      <c r="N15" s="104" t="n">
        <f aca="false">N14+M15</f>
        <v>82456.7440682698</v>
      </c>
      <c r="O15" s="104" t="n">
        <f aca="false">N15-COMPARATIVO!F$23</f>
        <v>62936.4040682698</v>
      </c>
      <c r="P15" s="104" t="n">
        <f aca="false">ECONOMIA!G$26*C15/$C$6*(1+ENTRADAS!$C$27)^(10-1)</f>
        <v>9607.71096764888</v>
      </c>
      <c r="Q15" s="104" t="n">
        <f aca="false">Q14+P15</f>
        <v>73506.7624922213</v>
      </c>
      <c r="R15" s="104" t="n">
        <f aca="false">Q15-COMPARATIVO!G$23</f>
        <v>52157.8524922213</v>
      </c>
      <c r="S15" s="41"/>
    </row>
    <row r="16" customFormat="false" ht="15" hidden="false" customHeight="false" outlineLevel="0" collapsed="false">
      <c r="B16" s="100" t="n">
        <v>11</v>
      </c>
      <c r="C16" s="37" t="n">
        <f aca="false">(1-ENTRADAS!$C$33)*(1-ENTRADAS!$C$34)^(11-1)</f>
        <v>0.936782392636857</v>
      </c>
      <c r="D16" s="101" t="n">
        <f aca="false">ECONOMIA!C$26*C16/$C$6*(1+ENTRADAS!$C$27)^(11-1)</f>
        <v>11511.6603061009</v>
      </c>
      <c r="E16" s="101" t="n">
        <f aca="false">E15+D16</f>
        <v>94195.4339369339</v>
      </c>
      <c r="F16" s="101" t="n">
        <f aca="false">E16-COMPARATIVO!C$23</f>
        <v>64396.7339369339</v>
      </c>
      <c r="G16" s="101" t="n">
        <f aca="false">ECONOMIA!D$26*C16/$C$6*(1+ENTRADAS!$C$27)^(11-1)</f>
        <v>11511.6603061009</v>
      </c>
      <c r="H16" s="101" t="n">
        <f aca="false">H15+G16</f>
        <v>94195.4339369339</v>
      </c>
      <c r="I16" s="101" t="n">
        <f aca="false">H16-COMPARATIVO!D$23</f>
        <v>65317.5339369339</v>
      </c>
      <c r="J16" s="101" t="n">
        <f aca="false">ECONOMIA!E$26*C16/$C$6*(1+ENTRADAS!$C$27)^(11-1)</f>
        <v>11480.0520825172</v>
      </c>
      <c r="K16" s="101" t="n">
        <f aca="false">K15+J16</f>
        <v>93936.796150787</v>
      </c>
      <c r="L16" s="101" t="n">
        <f aca="false">K16-COMPARATIVO!E$23</f>
        <v>75416.456150787</v>
      </c>
      <c r="M16" s="101" t="n">
        <f aca="false">ECONOMIA!F$26*C16/$C$6*(1+ENTRADAS!$C$27)^(11-1)</f>
        <v>11480.0520825172</v>
      </c>
      <c r="N16" s="101" t="n">
        <f aca="false">N15+M16</f>
        <v>93936.796150787</v>
      </c>
      <c r="O16" s="101" t="n">
        <f aca="false">N16-COMPARATIVO!F$23</f>
        <v>74416.456150787</v>
      </c>
      <c r="P16" s="101" t="n">
        <f aca="false">ECONOMIA!G$26*C16/$C$6*(1+ENTRADAS!$C$27)^(11-1)</f>
        <v>10233.9896070751</v>
      </c>
      <c r="Q16" s="101" t="n">
        <f aca="false">Q15+P16</f>
        <v>83740.7520992964</v>
      </c>
      <c r="R16" s="101" t="n">
        <f aca="false">Q16-COMPARATIVO!G$23</f>
        <v>62391.8420992964</v>
      </c>
      <c r="S16" s="96"/>
    </row>
    <row r="17" customFormat="false" ht="15" hidden="false" customHeight="false" outlineLevel="0" collapsed="false">
      <c r="B17" s="100" t="n">
        <v>12</v>
      </c>
      <c r="C17" s="37" t="n">
        <f aca="false">(1-ENTRADAS!$C$33)*(1-ENTRADAS!$C$34)^(12-1)</f>
        <v>0.932566871869991</v>
      </c>
      <c r="D17" s="101" t="n">
        <f aca="false">ECONOMIA!C$26*C17/$C$6*(1+ENTRADAS!$C$27)^(12-1)</f>
        <v>12262.0478831541</v>
      </c>
      <c r="E17" s="101" t="n">
        <f aca="false">E16+D17</f>
        <v>106457.481820088</v>
      </c>
      <c r="F17" s="101" t="n">
        <f aca="false">E17-COMPARATIVO!C$23</f>
        <v>76658.781820088</v>
      </c>
      <c r="G17" s="101" t="n">
        <f aca="false">ECONOMIA!D$26*C17/$C$6*(1+ENTRADAS!$C$27)^(12-1)</f>
        <v>12262.0478831541</v>
      </c>
      <c r="H17" s="101" t="n">
        <f aca="false">H16+G17</f>
        <v>106457.481820088</v>
      </c>
      <c r="I17" s="101" t="n">
        <f aca="false">H17-COMPARATIVO!D$23</f>
        <v>77579.581820088</v>
      </c>
      <c r="J17" s="101" t="n">
        <f aca="false">ECONOMIA!E$26*C17/$C$6*(1+ENTRADAS!$C$27)^(12-1)</f>
        <v>12228.3792775161</v>
      </c>
      <c r="K17" s="101" t="n">
        <f aca="false">K16+J17</f>
        <v>106165.175428303</v>
      </c>
      <c r="L17" s="101" t="n">
        <f aca="false">K17-COMPARATIVO!E$23</f>
        <v>87644.8354283031</v>
      </c>
      <c r="M17" s="101" t="n">
        <f aca="false">ECONOMIA!F$26*C17/$C$6*(1+ENTRADAS!$C$27)^(12-1)</f>
        <v>12228.3792775161</v>
      </c>
      <c r="N17" s="101" t="n">
        <f aca="false">N16+M17</f>
        <v>106165.175428303</v>
      </c>
      <c r="O17" s="101" t="n">
        <f aca="false">N17-COMPARATIVO!F$23</f>
        <v>86644.8354283031</v>
      </c>
      <c r="P17" s="101" t="n">
        <f aca="false">ECONOMIA!G$26*C17/$C$6*(1+ENTRADAS!$C$27)^(12-1)</f>
        <v>10901.0922196123</v>
      </c>
      <c r="Q17" s="101" t="n">
        <f aca="false">Q16+P17</f>
        <v>94641.8443189086</v>
      </c>
      <c r="R17" s="101" t="n">
        <f aca="false">Q17-COMPARATIVO!G$23</f>
        <v>73292.9343189086</v>
      </c>
      <c r="S17" s="96"/>
    </row>
    <row r="18" customFormat="false" ht="15" hidden="false" customHeight="false" outlineLevel="0" collapsed="false">
      <c r="B18" s="100" t="n">
        <v>13</v>
      </c>
      <c r="C18" s="37" t="n">
        <f aca="false">(1-ENTRADAS!$C$33)*(1-ENTRADAS!$C$34)^(13-1)</f>
        <v>0.928370320946576</v>
      </c>
      <c r="D18" s="101" t="n">
        <f aca="false">ECONOMIA!C$26*C18/$C$6*(1+ENTRADAS!$C$27)^(13-1)</f>
        <v>13061.3494744175</v>
      </c>
      <c r="E18" s="101" t="n">
        <f aca="false">E17+D18</f>
        <v>119518.831294506</v>
      </c>
      <c r="F18" s="101" t="n">
        <f aca="false">E18-COMPARATIVO!C$23</f>
        <v>89720.1312945055</v>
      </c>
      <c r="G18" s="101" t="n">
        <f aca="false">ECONOMIA!D$26*C18/$C$6*(1+ENTRADAS!$C$27)^(13-1)</f>
        <v>13061.3494744175</v>
      </c>
      <c r="H18" s="101" t="n">
        <f aca="false">H17+G18</f>
        <v>119518.831294506</v>
      </c>
      <c r="I18" s="101" t="n">
        <f aca="false">H18-COMPARATIVO!D$23</f>
        <v>90640.9312945055</v>
      </c>
      <c r="J18" s="101" t="n">
        <f aca="false">ECONOMIA!E$26*C18/$C$6*(1+ENTRADAS!$C$27)^(13-1)</f>
        <v>13025.486180721</v>
      </c>
      <c r="K18" s="101" t="n">
        <f aca="false">K17+J18</f>
        <v>119190.661609024</v>
      </c>
      <c r="L18" s="101" t="n">
        <f aca="false">K18-COMPARATIVO!E$23</f>
        <v>100670.321609024</v>
      </c>
      <c r="M18" s="101" t="n">
        <f aca="false">ECONOMIA!F$26*C18/$C$6*(1+ENTRADAS!$C$27)^(13-1)</f>
        <v>13025.486180721</v>
      </c>
      <c r="N18" s="101" t="n">
        <f aca="false">N17+M18</f>
        <v>119190.661609024</v>
      </c>
      <c r="O18" s="101" t="n">
        <f aca="false">N18-COMPARATIVO!F$23</f>
        <v>99670.321609024</v>
      </c>
      <c r="P18" s="101" t="n">
        <f aca="false">ECONOMIA!G$26*C18/$C$6*(1+ENTRADAS!$C$27)^(13-1)</f>
        <v>11611.6799159477</v>
      </c>
      <c r="Q18" s="101" t="n">
        <f aca="false">Q17+P18</f>
        <v>106253.524234856</v>
      </c>
      <c r="R18" s="101" t="n">
        <f aca="false">Q18-COMPARATIVO!G$23</f>
        <v>84904.6142348563</v>
      </c>
      <c r="S18" s="96"/>
    </row>
    <row r="19" customFormat="false" ht="15" hidden="false" customHeight="false" outlineLevel="0" collapsed="false">
      <c r="B19" s="100" t="n">
        <v>14</v>
      </c>
      <c r="C19" s="37" t="n">
        <f aca="false">(1-ENTRADAS!$C$33)*(1-ENTRADAS!$C$34)^(14-1)</f>
        <v>0.924192654502317</v>
      </c>
      <c r="D19" s="101" t="n">
        <f aca="false">ECONOMIA!C$26*C19/$C$6*(1+ENTRADAS!$C$27)^(14-1)</f>
        <v>13912.7535399074</v>
      </c>
      <c r="E19" s="101" t="n">
        <f aca="false">E18+D19</f>
        <v>133431.584834413</v>
      </c>
      <c r="F19" s="101" t="n">
        <f aca="false">E19-COMPARATIVO!C$23</f>
        <v>103632.884834413</v>
      </c>
      <c r="G19" s="101" t="n">
        <f aca="false">ECONOMIA!D$26*C19/$C$6*(1+ENTRADAS!$C$27)^(14-1)</f>
        <v>13912.7535399074</v>
      </c>
      <c r="H19" s="101" t="n">
        <f aca="false">H18+G19</f>
        <v>133431.584834413</v>
      </c>
      <c r="I19" s="101" t="n">
        <f aca="false">H19-COMPARATIVO!D$23</f>
        <v>104553.684834413</v>
      </c>
      <c r="J19" s="101" t="n">
        <f aca="false">ECONOMIA!E$26*C19/$C$6*(1+ENTRADAS!$C$27)^(14-1)</f>
        <v>13874.5524974113</v>
      </c>
      <c r="K19" s="101" t="n">
        <f aca="false">K18+J19</f>
        <v>133065.214106435</v>
      </c>
      <c r="L19" s="101" t="n">
        <f aca="false">K19-COMPARATIVO!E$23</f>
        <v>114544.874106435</v>
      </c>
      <c r="M19" s="101" t="n">
        <f aca="false">ECONOMIA!F$26*C19/$C$6*(1+ENTRADAS!$C$27)^(14-1)</f>
        <v>13874.5524974113</v>
      </c>
      <c r="N19" s="101" t="n">
        <f aca="false">N18+M19</f>
        <v>133065.214106435</v>
      </c>
      <c r="O19" s="101" t="n">
        <f aca="false">N19-COMPARATIVO!F$23</f>
        <v>113544.874106435</v>
      </c>
      <c r="P19" s="101" t="n">
        <f aca="false">ECONOMIA!G$26*C19/$C$6*(1+ENTRADAS!$C$27)^(14-1)</f>
        <v>12368.5872712687</v>
      </c>
      <c r="Q19" s="101" t="n">
        <f aca="false">Q18+P19</f>
        <v>118622.111506125</v>
      </c>
      <c r="R19" s="101" t="n">
        <f aca="false">Q19-COMPARATIVO!G$23</f>
        <v>97273.201506125</v>
      </c>
      <c r="S19" s="96"/>
    </row>
    <row r="20" customFormat="false" ht="15" hidden="false" customHeight="false" outlineLevel="0" collapsed="false">
      <c r="B20" s="100" t="n">
        <v>15</v>
      </c>
      <c r="C20" s="37" t="n">
        <f aca="false">(1-ENTRADAS!$C$33)*(1-ENTRADAS!$C$34)^(15-1)</f>
        <v>0.920033787557056</v>
      </c>
      <c r="D20" s="101" t="n">
        <f aca="false">ECONOMIA!C$26*C20/$C$6*(1+ENTRADAS!$C$27)^(15-1)</f>
        <v>14819.6563794063</v>
      </c>
      <c r="E20" s="101" t="n">
        <f aca="false">E19+D20</f>
        <v>148251.241213819</v>
      </c>
      <c r="F20" s="101" t="n">
        <f aca="false">E20-COMPARATIVO!C$23</f>
        <v>118452.541213819</v>
      </c>
      <c r="G20" s="101" t="n">
        <f aca="false">ECONOMIA!D$26*C20/$C$6*(1+ENTRADAS!$C$27)^(15-1)</f>
        <v>14819.6563794063</v>
      </c>
      <c r="H20" s="101" t="n">
        <f aca="false">H19+G20</f>
        <v>148251.241213819</v>
      </c>
      <c r="I20" s="101" t="n">
        <f aca="false">H20-COMPARATIVO!D$23</f>
        <v>119373.341213819</v>
      </c>
      <c r="J20" s="101" t="n">
        <f aca="false">ECONOMIA!E$26*C20/$C$6*(1+ENTRADAS!$C$27)^(15-1)</f>
        <v>14778.965201955</v>
      </c>
      <c r="K20" s="101" t="n">
        <f aca="false">K19+J20</f>
        <v>147844.17930839</v>
      </c>
      <c r="L20" s="101" t="n">
        <f aca="false">K20-COMPARATIVO!E$23</f>
        <v>129323.83930839</v>
      </c>
      <c r="M20" s="101" t="n">
        <f aca="false">ECONOMIA!F$26*C20/$C$6*(1+ENTRADAS!$C$27)^(15-1)</f>
        <v>14778.965201955</v>
      </c>
      <c r="N20" s="101" t="n">
        <f aca="false">N19+M20</f>
        <v>147844.17930839</v>
      </c>
      <c r="O20" s="101" t="n">
        <f aca="false">N20-COMPARATIVO!F$23</f>
        <v>128323.83930839</v>
      </c>
      <c r="P20" s="101" t="n">
        <f aca="false">ECONOMIA!G$26*C20/$C$6*(1+ENTRADAS!$C$27)^(15-1)</f>
        <v>13174.8336325464</v>
      </c>
      <c r="Q20" s="101" t="n">
        <f aca="false">Q19+P20</f>
        <v>131796.945138671</v>
      </c>
      <c r="R20" s="101" t="n">
        <f aca="false">Q20-COMPARATIVO!G$23</f>
        <v>110448.035138671</v>
      </c>
      <c r="S20" s="96"/>
    </row>
    <row r="21" customFormat="false" ht="15" hidden="false" customHeight="false" outlineLevel="0" collapsed="false">
      <c r="B21" s="100" t="n">
        <v>16</v>
      </c>
      <c r="C21" s="37" t="n">
        <f aca="false">(1-ENTRADAS!$C$33)*(1-ENTRADAS!$C$34)^(16-1)</f>
        <v>0.91589363551305</v>
      </c>
      <c r="D21" s="101" t="n">
        <f aca="false">ECONOMIA!C$26*C21/$C$6*(1+ENTRADAS!$C$27)^(16-1)</f>
        <v>15785.6756804979</v>
      </c>
      <c r="E21" s="101" t="n">
        <f aca="false">E20+D21</f>
        <v>164036.916894317</v>
      </c>
      <c r="F21" s="101" t="n">
        <f aca="false">E21-COMPARATIVO!C$23</f>
        <v>134238.216894317</v>
      </c>
      <c r="G21" s="101" t="n">
        <f aca="false">ECONOMIA!D$26*C21/$C$6*(1+ENTRADAS!$C$27)^(16-1)</f>
        <v>15785.6756804979</v>
      </c>
      <c r="H21" s="101" t="n">
        <f aca="false">H20+G21</f>
        <v>164036.916894317</v>
      </c>
      <c r="I21" s="101" t="n">
        <f aca="false">H21-COMPARATIVO!D$23</f>
        <v>135159.016894317</v>
      </c>
      <c r="J21" s="101" t="n">
        <f aca="false">ECONOMIA!E$26*C21/$C$6*(1+ENTRADAS!$C$27)^(16-1)</f>
        <v>15742.3320486445</v>
      </c>
      <c r="K21" s="101" t="n">
        <f aca="false">K20+J21</f>
        <v>163586.511357035</v>
      </c>
      <c r="L21" s="101" t="n">
        <f aca="false">K21-COMPARATIVO!E$23</f>
        <v>145066.171357035</v>
      </c>
      <c r="M21" s="101" t="n">
        <f aca="false">ECONOMIA!F$26*C21/$C$6*(1+ENTRADAS!$C$27)^(16-1)</f>
        <v>15742.3320486445</v>
      </c>
      <c r="N21" s="101" t="n">
        <f aca="false">N20+M21</f>
        <v>163586.511357035</v>
      </c>
      <c r="O21" s="101" t="n">
        <f aca="false">N21-COMPARATIVO!F$23</f>
        <v>144066.171357035</v>
      </c>
      <c r="P21" s="101" t="n">
        <f aca="false">ECONOMIA!G$26*C21/$C$6*(1+ENTRADAS!$C$27)^(16-1)</f>
        <v>14033.6351628839</v>
      </c>
      <c r="Q21" s="101" t="n">
        <f aca="false">Q20+P21</f>
        <v>145830.580301555</v>
      </c>
      <c r="R21" s="101" t="n">
        <f aca="false">Q21-COMPARATIVO!G$23</f>
        <v>124481.670301555</v>
      </c>
      <c r="S21" s="96"/>
    </row>
    <row r="22" customFormat="false" ht="15" hidden="false" customHeight="false" outlineLevel="0" collapsed="false">
      <c r="B22" s="100" t="n">
        <v>17</v>
      </c>
      <c r="C22" s="37" t="n">
        <f aca="false">(1-ENTRADAS!$C$33)*(1-ENTRADAS!$C$34)^(17-1)</f>
        <v>0.911772114153241</v>
      </c>
      <c r="D22" s="101" t="n">
        <f aca="false">ECONOMIA!C$26*C22/$C$6*(1+ENTRADAS!$C$27)^(17-1)</f>
        <v>16814.6649497312</v>
      </c>
      <c r="E22" s="101" t="n">
        <f aca="false">E21+D22</f>
        <v>180851.581844048</v>
      </c>
      <c r="F22" s="101" t="n">
        <f aca="false">E22-COMPARATIVO!C$23</f>
        <v>151052.881844048</v>
      </c>
      <c r="G22" s="101" t="n">
        <f aca="false">ECONOMIA!D$26*C22/$C$6*(1+ENTRADAS!$C$27)^(17-1)</f>
        <v>16814.6649497312</v>
      </c>
      <c r="H22" s="101" t="n">
        <f aca="false">H21+G22</f>
        <v>180851.581844048</v>
      </c>
      <c r="I22" s="101" t="n">
        <f aca="false">H22-COMPARATIVO!D$23</f>
        <v>151973.681844048</v>
      </c>
      <c r="J22" s="101" t="n">
        <f aca="false">ECONOMIA!E$26*C22/$C$6*(1+ENTRADAS!$C$27)^(17-1)</f>
        <v>16768.4959632354</v>
      </c>
      <c r="K22" s="101" t="n">
        <f aca="false">K21+J22</f>
        <v>180355.00732027</v>
      </c>
      <c r="L22" s="101" t="n">
        <f aca="false">K22-COMPARATIVO!E$23</f>
        <v>161834.66732027</v>
      </c>
      <c r="M22" s="101" t="n">
        <f aca="false">ECONOMIA!F$26*C22/$C$6*(1+ENTRADAS!$C$27)^(17-1)</f>
        <v>16768.4959632354</v>
      </c>
      <c r="N22" s="101" t="n">
        <f aca="false">N21+M22</f>
        <v>180355.00732027</v>
      </c>
      <c r="O22" s="101" t="n">
        <f aca="false">N22-COMPARATIVO!F$23</f>
        <v>160834.66732027</v>
      </c>
      <c r="P22" s="101" t="n">
        <f aca="false">ECONOMIA!G$26*C22/$C$6*(1+ENTRADAS!$C$27)^(17-1)</f>
        <v>14948.4176709765</v>
      </c>
      <c r="Q22" s="101" t="n">
        <f aca="false">Q21+P22</f>
        <v>160778.997972532</v>
      </c>
      <c r="R22" s="101" t="n">
        <f aca="false">Q22-COMPARATIVO!G$23</f>
        <v>139430.087972532</v>
      </c>
      <c r="S22" s="96"/>
    </row>
    <row r="23" customFormat="false" ht="15" hidden="false" customHeight="false" outlineLevel="0" collapsed="false">
      <c r="B23" s="100" t="n">
        <v>18</v>
      </c>
      <c r="C23" s="37" t="n">
        <f aca="false">(1-ENTRADAS!$C$33)*(1-ENTRADAS!$C$34)^(18-1)</f>
        <v>0.907669139639551</v>
      </c>
      <c r="D23" s="101" t="n">
        <f aca="false">ECONOMIA!C$26*C23/$C$6*(1+ENTRADAS!$C$27)^(18-1)</f>
        <v>17910.7288844794</v>
      </c>
      <c r="E23" s="101" t="n">
        <f aca="false">E22+D23</f>
        <v>198762.310728528</v>
      </c>
      <c r="F23" s="101" t="n">
        <f aca="false">E23-COMPARATIVO!C$23</f>
        <v>168963.610728528</v>
      </c>
      <c r="G23" s="101" t="n">
        <f aca="false">ECONOMIA!D$26*C23/$C$6*(1+ENTRADAS!$C$27)^(18-1)</f>
        <v>17910.7288844794</v>
      </c>
      <c r="H23" s="101" t="n">
        <f aca="false">H22+G23</f>
        <v>198762.310728528</v>
      </c>
      <c r="I23" s="101" t="n">
        <f aca="false">H23-COMPARATIVO!D$23</f>
        <v>169884.410728528</v>
      </c>
      <c r="J23" s="101" t="n">
        <f aca="false">ECONOMIA!E$26*C23/$C$6*(1+ENTRADAS!$C$27)^(18-1)</f>
        <v>17861.5503725989</v>
      </c>
      <c r="K23" s="101" t="n">
        <f aca="false">K22+J23</f>
        <v>198216.557692869</v>
      </c>
      <c r="L23" s="101" t="n">
        <f aca="false">K23-COMPARATIVO!E$23</f>
        <v>179696.217692869</v>
      </c>
      <c r="M23" s="101" t="n">
        <f aca="false">ECONOMIA!F$26*C23/$C$6*(1+ENTRADAS!$C$27)^(18-1)</f>
        <v>17861.5503725989</v>
      </c>
      <c r="N23" s="101" t="n">
        <f aca="false">N22+M23</f>
        <v>198216.557692869</v>
      </c>
      <c r="O23" s="101" t="n">
        <f aca="false">N23-COMPARATIVO!F$23</f>
        <v>178696.217692869</v>
      </c>
      <c r="P23" s="101" t="n">
        <f aca="false">ECONOMIA!G$26*C23/$C$6*(1+ENTRADAS!$C$27)^(18-1)</f>
        <v>15922.8302768591</v>
      </c>
      <c r="Q23" s="101" t="n">
        <f aca="false">Q22+P23</f>
        <v>176701.828249391</v>
      </c>
      <c r="R23" s="101" t="n">
        <f aca="false">Q23-COMPARATIVO!G$23</f>
        <v>155352.918249391</v>
      </c>
      <c r="S23" s="96"/>
    </row>
    <row r="24" customFormat="false" ht="15" hidden="false" customHeight="false" outlineLevel="0" collapsed="false">
      <c r="B24" s="100" t="n">
        <v>19</v>
      </c>
      <c r="C24" s="37" t="n">
        <f aca="false">(1-ENTRADAS!$C$33)*(1-ENTRADAS!$C$34)^(19-1)</f>
        <v>0.903584628511173</v>
      </c>
      <c r="D24" s="101" t="n">
        <f aca="false">ECONOMIA!C$26*C24/$C$6*(1+ENTRADAS!$C$27)^(19-1)</f>
        <v>19078.2397468142</v>
      </c>
      <c r="E24" s="101" t="n">
        <f aca="false">E23+D24</f>
        <v>217840.550475342</v>
      </c>
      <c r="F24" s="101" t="n">
        <f aca="false">E24-COMPARATIVO!C$23</f>
        <v>188041.850475342</v>
      </c>
      <c r="G24" s="101" t="n">
        <f aca="false">ECONOMIA!D$26*C24/$C$6*(1+ENTRADAS!$C$27)^(19-1)</f>
        <v>19078.2397468142</v>
      </c>
      <c r="H24" s="101" t="n">
        <f aca="false">H23+G24</f>
        <v>217840.550475342</v>
      </c>
      <c r="I24" s="101" t="n">
        <f aca="false">H24-COMPARATIVO!D$23</f>
        <v>188962.650475342</v>
      </c>
      <c r="J24" s="101" t="n">
        <f aca="false">ECONOMIA!E$26*C24/$C$6*(1+ENTRADAS!$C$27)^(19-1)</f>
        <v>19025.8555336367</v>
      </c>
      <c r="K24" s="101" t="n">
        <f aca="false">K23+J24</f>
        <v>217242.413226506</v>
      </c>
      <c r="L24" s="101" t="n">
        <f aca="false">K24-COMPARATIVO!E$23</f>
        <v>198722.073226506</v>
      </c>
      <c r="M24" s="101" t="n">
        <f aca="false">ECONOMIA!F$26*C24/$C$6*(1+ENTRADAS!$C$27)^(19-1)</f>
        <v>19025.8555336367</v>
      </c>
      <c r="N24" s="101" t="n">
        <f aca="false">N23+M24</f>
        <v>217242.413226506</v>
      </c>
      <c r="O24" s="101" t="n">
        <f aca="false">N24-COMPARATIVO!F$23</f>
        <v>197722.073226506</v>
      </c>
      <c r="P24" s="101" t="n">
        <f aca="false">ECONOMIA!G$26*C24/$C$6*(1+ENTRADAS!$C$27)^(19-1)</f>
        <v>16960.7599684562</v>
      </c>
      <c r="Q24" s="101" t="n">
        <f aca="false">Q23+P24</f>
        <v>193662.588217847</v>
      </c>
      <c r="R24" s="101" t="n">
        <f aca="false">Q24-COMPARATIVO!G$23</f>
        <v>172313.678217847</v>
      </c>
      <c r="S24" s="96"/>
    </row>
    <row r="25" customFormat="false" ht="15" hidden="false" customHeight="false" outlineLevel="0" collapsed="false">
      <c r="B25" s="102" t="n">
        <v>20</v>
      </c>
      <c r="C25" s="103" t="n">
        <f aca="false">(1-ENTRADAS!$C$33)*(1-ENTRADAS!$C$34)^(20-1)</f>
        <v>0.899518497682873</v>
      </c>
      <c r="D25" s="104" t="n">
        <f aca="false">ECONOMIA!C$26*C25/$C$6*(1+ENTRADAS!$C$27)^(20-1)</f>
        <v>20321.8548047103</v>
      </c>
      <c r="E25" s="104" t="n">
        <f aca="false">E24+D25</f>
        <v>238162.405280052</v>
      </c>
      <c r="F25" s="104" t="n">
        <f aca="false">E25-COMPARATIVO!C$23</f>
        <v>208363.705280052</v>
      </c>
      <c r="G25" s="104" t="n">
        <f aca="false">ECONOMIA!D$26*C25/$C$6*(1+ENTRADAS!$C$27)^(20-1)</f>
        <v>20321.8548047103</v>
      </c>
      <c r="H25" s="104" t="n">
        <f aca="false">H24+G25</f>
        <v>238162.405280052</v>
      </c>
      <c r="I25" s="104" t="n">
        <f aca="false">H25-COMPARATIVO!D$23</f>
        <v>209284.505280052</v>
      </c>
      <c r="J25" s="104" t="n">
        <f aca="false">ECONOMIA!E$26*C25/$C$6*(1+ENTRADAS!$C$27)^(20-1)</f>
        <v>20266.0559265968</v>
      </c>
      <c r="K25" s="104" t="n">
        <f aca="false">K24+J25</f>
        <v>237508.469153103</v>
      </c>
      <c r="L25" s="104" t="n">
        <f aca="false">K25-COMPARATIVO!E$23</f>
        <v>218988.129153103</v>
      </c>
      <c r="M25" s="104" t="n">
        <f aca="false">ECONOMIA!F$26*C25/$C$6*(1+ENTRADAS!$C$27)^(20-1)</f>
        <v>20266.0559265968</v>
      </c>
      <c r="N25" s="104" t="n">
        <f aca="false">N24+M25</f>
        <v>237508.469153103</v>
      </c>
      <c r="O25" s="104" t="n">
        <f aca="false">N25-COMPARATIVO!F$23</f>
        <v>217988.129153103</v>
      </c>
      <c r="P25" s="104" t="n">
        <f aca="false">ECONOMIA!G$26*C25/$C$6*(1+ENTRADAS!$C$27)^(20-1)</f>
        <v>18066.347107</v>
      </c>
      <c r="Q25" s="104" t="n">
        <f aca="false">Q24+P25</f>
        <v>211728.935324847</v>
      </c>
      <c r="R25" s="104" t="n">
        <f aca="false">Q25-COMPARATIVO!G$23</f>
        <v>190380.025324847</v>
      </c>
      <c r="S25" s="41"/>
    </row>
    <row r="27" customFormat="false" ht="15" hidden="false" customHeight="false" outlineLevel="0" collapsed="false">
      <c r="B27" s="2" t="s">
        <v>743</v>
      </c>
    </row>
    <row r="28" customFormat="false" ht="15" hidden="false" customHeight="false" outlineLevel="0" collapsed="false">
      <c r="B28" s="2" t="s">
        <v>744</v>
      </c>
    </row>
    <row r="29" customFormat="false" ht="15" hidden="false" customHeight="false" outlineLevel="0" collapsed="false">
      <c r="B29" s="2" t="s">
        <v>745</v>
      </c>
    </row>
    <row r="30" customFormat="false" ht="15" hidden="false" customHeight="false" outlineLevel="0" collapsed="false">
      <c r="B30" s="5" t="s">
        <v>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747</v>
      </c>
    </row>
    <row r="2" customFormat="false" ht="15" hidden="false" customHeight="false" outlineLevel="0" collapsed="false">
      <c r="A2" s="2" t="s">
        <v>748</v>
      </c>
    </row>
    <row r="4" customFormat="false" ht="15" hidden="false" customHeight="false" outlineLevel="0" collapsed="false">
      <c r="B4" s="21" t="s">
        <v>749</v>
      </c>
      <c r="C4" s="16" t="n">
        <v>6.2</v>
      </c>
      <c r="D4" s="2" t="s">
        <v>750</v>
      </c>
    </row>
    <row r="6" customFormat="false" ht="23.85" hidden="false" customHeight="false" outlineLevel="0" collapsed="false">
      <c r="B6" s="17" t="s">
        <v>251</v>
      </c>
      <c r="C6" s="17" t="s">
        <v>751</v>
      </c>
      <c r="D6" s="17" t="s">
        <v>752</v>
      </c>
      <c r="E6" s="17" t="s">
        <v>753</v>
      </c>
      <c r="F6" s="17" t="s">
        <v>754</v>
      </c>
      <c r="G6" s="17" t="s">
        <v>755</v>
      </c>
      <c r="H6" s="17" t="s">
        <v>756</v>
      </c>
      <c r="I6" s="17" t="s">
        <v>757</v>
      </c>
    </row>
    <row r="7" customFormat="false" ht="15" hidden="false" customHeight="false" outlineLevel="0" collapsed="false">
      <c r="B7" s="18" t="s">
        <v>253</v>
      </c>
      <c r="C7" s="32" t="n">
        <f aca="false">CONTA!C38</f>
        <v>372</v>
      </c>
      <c r="D7" s="32" t="n">
        <f aca="false">BYD!$C$13</f>
        <v>205.581395348837</v>
      </c>
      <c r="E7" s="36" t="n">
        <f aca="false">C7+D7</f>
        <v>577.581395348837</v>
      </c>
      <c r="F7" s="36" t="n">
        <f aca="false">$C$4*GERACAO!I5</f>
        <v>780.599158</v>
      </c>
      <c r="G7" s="36" t="n">
        <f aca="false">F7-E7</f>
        <v>203.017762651163</v>
      </c>
      <c r="H7" s="36" t="n">
        <f aca="false">MAX(0,G7)</f>
        <v>203.017762651163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254</v>
      </c>
      <c r="C8" s="32" t="n">
        <f aca="false">CONTA!C39</f>
        <v>348</v>
      </c>
      <c r="D8" s="32" t="n">
        <f aca="false">BYD!$C$13</f>
        <v>205.581395348837</v>
      </c>
      <c r="E8" s="36" t="n">
        <f aca="false">C8+D8</f>
        <v>553.581395348837</v>
      </c>
      <c r="F8" s="36" t="n">
        <f aca="false">$C$4*GERACAO!I6</f>
        <v>710.954496</v>
      </c>
      <c r="G8" s="36" t="n">
        <f aca="false">F8-E8</f>
        <v>157.373100651163</v>
      </c>
      <c r="H8" s="36" t="n">
        <f aca="false">MAX(0,H7+G8)</f>
        <v>360.390863302326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255</v>
      </c>
      <c r="C9" s="32" t="n">
        <f aca="false">CONTA!C40</f>
        <v>354</v>
      </c>
      <c r="D9" s="32" t="n">
        <f aca="false">BYD!$C$13</f>
        <v>205.581395348837</v>
      </c>
      <c r="E9" s="36" t="n">
        <f aca="false">C9+D9</f>
        <v>559.581395348837</v>
      </c>
      <c r="F9" s="36" t="n">
        <f aca="false">$C$4*GERACAO!I7</f>
        <v>706.80589</v>
      </c>
      <c r="G9" s="36" t="n">
        <f aca="false">F9-E9</f>
        <v>147.224494651163</v>
      </c>
      <c r="H9" s="36" t="n">
        <f aca="false">MAX(0,H8+G9)</f>
        <v>507.615357953489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256</v>
      </c>
      <c r="C10" s="32" t="n">
        <f aca="false">CONTA!C41</f>
        <v>394</v>
      </c>
      <c r="D10" s="32" t="n">
        <f aca="false">BYD!$C$13</f>
        <v>205.581395348837</v>
      </c>
      <c r="E10" s="36" t="n">
        <f aca="false">C10+D10</f>
        <v>599.581395348837</v>
      </c>
      <c r="F10" s="36" t="n">
        <f aca="false">$C$4*GERACAO!I8</f>
        <v>607.74384</v>
      </c>
      <c r="G10" s="36" t="n">
        <f aca="false">F10-E10</f>
        <v>8.1624446511629</v>
      </c>
      <c r="H10" s="36" t="n">
        <f aca="false">MAX(0,H9+G10)</f>
        <v>515.777802604652</v>
      </c>
      <c r="I10" s="18" t="str">
        <f aca="false">IF(G10&gt;=0,"Sobra - acumula credito","Falta - usa credito ou compra da rede")</f>
        <v>Sobra - acumula credito</v>
      </c>
    </row>
    <row r="11" customFormat="false" ht="15" hidden="false" customHeight="false" outlineLevel="0" collapsed="false">
      <c r="B11" s="18" t="s">
        <v>257</v>
      </c>
      <c r="C11" s="32" t="n">
        <f aca="false">CONTA!C42</f>
        <v>457</v>
      </c>
      <c r="D11" s="32" t="n">
        <f aca="false">BYD!$C$13</f>
        <v>205.581395348837</v>
      </c>
      <c r="E11" s="36" t="n">
        <f aca="false">C11+D11</f>
        <v>662.581395348837</v>
      </c>
      <c r="F11" s="36" t="n">
        <f aca="false">$C$4*GERACAO!I9</f>
        <v>516.856552</v>
      </c>
      <c r="G11" s="36" t="n">
        <f aca="false">F11-E11</f>
        <v>-145.724843348837</v>
      </c>
      <c r="H11" s="36" t="n">
        <f aca="false">MAX(0,H10+G11)</f>
        <v>370.052959255815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258</v>
      </c>
      <c r="C12" s="32" t="n">
        <f aca="false">CONTA!C43</f>
        <v>422</v>
      </c>
      <c r="D12" s="32" t="n">
        <f aca="false">BYD!$C$13</f>
        <v>205.581395348837</v>
      </c>
      <c r="E12" s="36" t="n">
        <f aca="false">C12+D12</f>
        <v>627.581395348837</v>
      </c>
      <c r="F12" s="36" t="n">
        <f aca="false">$C$4*GERACAO!I10</f>
        <v>468.0039</v>
      </c>
      <c r="G12" s="36" t="n">
        <f aca="false">F12-E12</f>
        <v>-159.577495348837</v>
      </c>
      <c r="H12" s="36" t="n">
        <f aca="false">MAX(0,H11+G12)</f>
        <v>210.475463906977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259</v>
      </c>
      <c r="C13" s="32" t="n">
        <f aca="false">CONTA!C44</f>
        <v>540</v>
      </c>
      <c r="D13" s="32" t="n">
        <f aca="false">BYD!$C$13</f>
        <v>205.581395348837</v>
      </c>
      <c r="E13" s="36" t="n">
        <f aca="false">C13+D13</f>
        <v>745.581395348837</v>
      </c>
      <c r="F13" s="36" t="n">
        <f aca="false">$C$4*GERACAO!I11</f>
        <v>504.329917</v>
      </c>
      <c r="G13" s="36" t="n">
        <f aca="false">F13-E13</f>
        <v>-241.251478348837</v>
      </c>
      <c r="H13" s="36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260</v>
      </c>
      <c r="C14" s="32" t="n">
        <f aca="false">CONTA!C45</f>
        <v>364</v>
      </c>
      <c r="D14" s="32" t="n">
        <f aca="false">BYD!$C$13</f>
        <v>205.581395348837</v>
      </c>
      <c r="E14" s="36" t="n">
        <f aca="false">C14+D14</f>
        <v>569.581395348837</v>
      </c>
      <c r="F14" s="36" t="n">
        <f aca="false">$C$4*GERACAO!I12</f>
        <v>642.502497</v>
      </c>
      <c r="G14" s="36" t="n">
        <f aca="false">F14-E14</f>
        <v>72.9211016511629</v>
      </c>
      <c r="H14" s="36" t="n">
        <f aca="false">MAX(0,H13+G14)</f>
        <v>72.9211016511629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261</v>
      </c>
      <c r="C15" s="32" t="n">
        <f aca="false">CONTA!C46</f>
        <v>290</v>
      </c>
      <c r="D15" s="32" t="n">
        <f aca="false">BYD!$C$13</f>
        <v>205.581395348837</v>
      </c>
      <c r="E15" s="36" t="n">
        <f aca="false">C15+D15</f>
        <v>495.581395348837</v>
      </c>
      <c r="F15" s="36" t="n">
        <f aca="false">$C$4*GERACAO!I13</f>
        <v>621.18885</v>
      </c>
      <c r="G15" s="36" t="n">
        <f aca="false">F15-E15</f>
        <v>125.607454651163</v>
      </c>
      <c r="H15" s="36" t="n">
        <f aca="false">MAX(0,H14+G15)</f>
        <v>198.528556302326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262</v>
      </c>
      <c r="C16" s="32" t="n">
        <f aca="false">CONTA!C47</f>
        <v>375</v>
      </c>
      <c r="D16" s="32" t="n">
        <f aca="false">BYD!$C$13</f>
        <v>205.581395348837</v>
      </c>
      <c r="E16" s="36" t="n">
        <f aca="false">C16+D16</f>
        <v>580.581395348837</v>
      </c>
      <c r="F16" s="36" t="n">
        <f aca="false">$C$4*GERACAO!I14</f>
        <v>714.245952</v>
      </c>
      <c r="G16" s="36" t="n">
        <f aca="false">F16-E16</f>
        <v>133.664556651163</v>
      </c>
      <c r="H16" s="36" t="n">
        <f aca="false">MAX(0,H15+G16)</f>
        <v>332.193112953489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263</v>
      </c>
      <c r="C17" s="32" t="n">
        <f aca="false">CONTA!C48</f>
        <v>337</v>
      </c>
      <c r="D17" s="32" t="n">
        <f aca="false">BYD!$C$13</f>
        <v>205.581395348837</v>
      </c>
      <c r="E17" s="36" t="n">
        <f aca="false">C17+D17</f>
        <v>542.581395348837</v>
      </c>
      <c r="F17" s="36" t="n">
        <f aca="false">$C$4*GERACAO!I15</f>
        <v>762.54513</v>
      </c>
      <c r="G17" s="36" t="n">
        <f aca="false">F17-E17</f>
        <v>219.963734651163</v>
      </c>
      <c r="H17" s="36" t="n">
        <f aca="false">MAX(0,H16+G17)</f>
        <v>552.156847604652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264</v>
      </c>
      <c r="C18" s="32" t="n">
        <f aca="false">CONTA!C49</f>
        <v>323</v>
      </c>
      <c r="D18" s="32" t="n">
        <f aca="false">BYD!$C$13</f>
        <v>205.581395348837</v>
      </c>
      <c r="E18" s="36" t="n">
        <f aca="false">C18+D18</f>
        <v>528.581395348837</v>
      </c>
      <c r="F18" s="36" t="n">
        <f aca="false">$C$4*GERACAO!I16</f>
        <v>802.691587</v>
      </c>
      <c r="G18" s="36" t="n">
        <f aca="false">F18-E18</f>
        <v>274.110191651163</v>
      </c>
      <c r="H18" s="36" t="n">
        <f aca="false">MAX(0,H17+G18)</f>
        <v>826.267039255815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296</v>
      </c>
      <c r="C19" s="34" t="n">
        <f aca="false">SUM(C7:C18)</f>
        <v>4576</v>
      </c>
      <c r="D19" s="34" t="n">
        <f aca="false">SUM(D7:D18)</f>
        <v>2466.97674418605</v>
      </c>
      <c r="E19" s="34" t="n">
        <f aca="false">SUM(E7:E18)</f>
        <v>7042.97674418605</v>
      </c>
      <c r="F19" s="34" t="n">
        <f aca="false">SUM(F7:F18)</f>
        <v>7838.467769</v>
      </c>
      <c r="G19" s="34" t="n">
        <f aca="false">SUM(G7:G18)</f>
        <v>795.491024813955</v>
      </c>
    </row>
    <row r="21" customFormat="false" ht="15" hidden="false" customHeight="false" outlineLevel="0" collapsed="false">
      <c r="B21" s="3" t="s">
        <v>758</v>
      </c>
    </row>
    <row r="22" customFormat="false" ht="15" hidden="false" customHeight="false" outlineLevel="0" collapsed="false">
      <c r="B22" s="2" t="s">
        <v>759</v>
      </c>
    </row>
    <row r="23" customFormat="false" ht="15" hidden="false" customHeight="false" outlineLevel="0" collapsed="false">
      <c r="B23" s="2" t="s">
        <v>760</v>
      </c>
    </row>
    <row r="24" customFormat="false" ht="15" hidden="false" customHeight="false" outlineLevel="0" collapsed="false">
      <c r="B24" s="2" t="s">
        <v>761</v>
      </c>
    </row>
    <row r="25" customFormat="false" ht="15" hidden="false" customHeight="false" outlineLevel="0" collapsed="false">
      <c r="B25" s="2" t="s">
        <v>762</v>
      </c>
    </row>
    <row r="26" customFormat="false" ht="15" hidden="false" customHeight="false" outlineLevel="0" collapsed="false">
      <c r="B26" s="2" t="s">
        <v>763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764</v>
      </c>
    </row>
    <row r="29" customFormat="false" ht="15" hidden="false" customHeight="false" outlineLevel="0" collapsed="false">
      <c r="B29" s="2" t="s">
        <v>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766</v>
      </c>
    </row>
    <row r="2" customFormat="false" ht="15" hidden="false" customHeight="false" outlineLevel="0" collapsed="false">
      <c r="A2" s="2" t="s">
        <v>767</v>
      </c>
    </row>
    <row r="4" customFormat="false" ht="15" hidden="false" customHeight="false" outlineLevel="0" collapsed="false">
      <c r="B4" s="17" t="s">
        <v>768</v>
      </c>
      <c r="C4" s="17" t="s">
        <v>769</v>
      </c>
      <c r="D4" s="17" t="s">
        <v>770</v>
      </c>
      <c r="E4" s="17" t="s">
        <v>771</v>
      </c>
    </row>
    <row r="5" customFormat="false" ht="15" hidden="false" customHeight="false" outlineLevel="0" collapsed="false">
      <c r="B5" s="8"/>
      <c r="C5" s="7" t="s">
        <v>772</v>
      </c>
      <c r="D5" s="8"/>
      <c r="E5" s="8"/>
    </row>
    <row r="6" customFormat="false" ht="22.35" hidden="false" customHeight="false" outlineLevel="0" collapsed="false">
      <c r="B6" s="4" t="n">
        <v>1</v>
      </c>
      <c r="C6" s="105" t="s">
        <v>773</v>
      </c>
      <c r="D6" s="9" t="s">
        <v>774</v>
      </c>
      <c r="E6" s="106"/>
    </row>
    <row r="7" customFormat="false" ht="22.35" hidden="false" customHeight="false" outlineLevel="0" collapsed="false">
      <c r="B7" s="4" t="n">
        <v>2</v>
      </c>
      <c r="C7" s="105" t="s">
        <v>775</v>
      </c>
      <c r="D7" s="9" t="s">
        <v>774</v>
      </c>
      <c r="E7" s="106"/>
    </row>
    <row r="8" customFormat="false" ht="22.35" hidden="false" customHeight="false" outlineLevel="0" collapsed="false">
      <c r="B8" s="4" t="n">
        <v>3</v>
      </c>
      <c r="C8" s="105" t="s">
        <v>776</v>
      </c>
      <c r="D8" s="9" t="s">
        <v>774</v>
      </c>
      <c r="E8" s="106"/>
    </row>
    <row r="9" customFormat="false" ht="22.35" hidden="false" customHeight="false" outlineLevel="0" collapsed="false">
      <c r="B9" s="4" t="n">
        <v>4</v>
      </c>
      <c r="C9" s="105" t="s">
        <v>777</v>
      </c>
      <c r="D9" s="9" t="s">
        <v>774</v>
      </c>
      <c r="E9" s="106"/>
    </row>
    <row r="10" customFormat="false" ht="32.8" hidden="false" customHeight="false" outlineLevel="0" collapsed="false">
      <c r="B10" s="4" t="n">
        <v>5</v>
      </c>
      <c r="C10" s="105" t="s">
        <v>778</v>
      </c>
      <c r="D10" s="9" t="s">
        <v>774</v>
      </c>
      <c r="E10" s="106"/>
    </row>
    <row r="11" customFormat="false" ht="22.35" hidden="false" customHeight="false" outlineLevel="0" collapsed="false">
      <c r="B11" s="4" t="n">
        <v>6</v>
      </c>
      <c r="C11" s="105" t="s">
        <v>779</v>
      </c>
      <c r="D11" s="9" t="s">
        <v>774</v>
      </c>
      <c r="E11" s="106"/>
    </row>
    <row r="12" customFormat="false" ht="22.35" hidden="false" customHeight="false" outlineLevel="0" collapsed="false">
      <c r="B12" s="4" t="n">
        <v>7</v>
      </c>
      <c r="C12" s="105" t="s">
        <v>780</v>
      </c>
      <c r="D12" s="9" t="s">
        <v>774</v>
      </c>
      <c r="E12" s="106"/>
    </row>
    <row r="13" customFormat="false" ht="15" hidden="false" customHeight="false" outlineLevel="0" collapsed="false">
      <c r="B13" s="4" t="n">
        <v>8</v>
      </c>
      <c r="C13" s="105" t="s">
        <v>781</v>
      </c>
      <c r="D13" s="9" t="s">
        <v>774</v>
      </c>
      <c r="E13" s="106"/>
    </row>
    <row r="14" customFormat="false" ht="15" hidden="false" customHeight="false" outlineLevel="0" collapsed="false">
      <c r="B14" s="4" t="n">
        <v>9</v>
      </c>
      <c r="C14" s="105" t="s">
        <v>782</v>
      </c>
      <c r="D14" s="9" t="s">
        <v>774</v>
      </c>
      <c r="E14" s="106"/>
    </row>
    <row r="15" customFormat="false" ht="22.35" hidden="false" customHeight="false" outlineLevel="0" collapsed="false">
      <c r="B15" s="4" t="n">
        <v>10</v>
      </c>
      <c r="C15" s="105" t="s">
        <v>783</v>
      </c>
      <c r="D15" s="9" t="s">
        <v>774</v>
      </c>
      <c r="E15" s="106"/>
    </row>
    <row r="16" customFormat="false" ht="22.35" hidden="false" customHeight="false" outlineLevel="0" collapsed="false">
      <c r="B16" s="4" t="n">
        <v>11</v>
      </c>
      <c r="C16" s="105" t="s">
        <v>784</v>
      </c>
      <c r="D16" s="9" t="s">
        <v>774</v>
      </c>
      <c r="E16" s="106"/>
    </row>
    <row r="17" customFormat="false" ht="32.8" hidden="false" customHeight="false" outlineLevel="0" collapsed="false">
      <c r="B17" s="4" t="n">
        <v>12</v>
      </c>
      <c r="C17" s="105" t="s">
        <v>785</v>
      </c>
      <c r="D17" s="9" t="s">
        <v>774</v>
      </c>
      <c r="E17" s="106"/>
    </row>
    <row r="18" customFormat="false" ht="32.8" hidden="false" customHeight="false" outlineLevel="0" collapsed="false">
      <c r="B18" s="4" t="n">
        <v>13</v>
      </c>
      <c r="C18" s="105" t="s">
        <v>786</v>
      </c>
      <c r="D18" s="9" t="s">
        <v>774</v>
      </c>
      <c r="E18" s="106"/>
    </row>
    <row r="19" customFormat="false" ht="22.35" hidden="false" customHeight="false" outlineLevel="0" collapsed="false">
      <c r="B19" s="4" t="n">
        <v>14</v>
      </c>
      <c r="C19" s="105" t="s">
        <v>787</v>
      </c>
      <c r="D19" s="9" t="s">
        <v>774</v>
      </c>
      <c r="E19" s="106"/>
    </row>
    <row r="20" customFormat="false" ht="22.35" hidden="false" customHeight="false" outlineLevel="0" collapsed="false">
      <c r="B20" s="4" t="n">
        <v>15</v>
      </c>
      <c r="C20" s="105" t="s">
        <v>788</v>
      </c>
      <c r="D20" s="9" t="s">
        <v>774</v>
      </c>
      <c r="E20" s="106"/>
    </row>
    <row r="21" customFormat="false" ht="22.35" hidden="false" customHeight="false" outlineLevel="0" collapsed="false">
      <c r="B21" s="4" t="n">
        <v>16</v>
      </c>
      <c r="C21" s="105" t="s">
        <v>789</v>
      </c>
      <c r="D21" s="9" t="s">
        <v>774</v>
      </c>
      <c r="E21" s="106"/>
    </row>
    <row r="22" customFormat="false" ht="22.35" hidden="false" customHeight="false" outlineLevel="0" collapsed="false">
      <c r="B22" s="4" t="n">
        <v>17</v>
      </c>
      <c r="C22" s="105" t="s">
        <v>790</v>
      </c>
      <c r="D22" s="9" t="s">
        <v>774</v>
      </c>
      <c r="E22" s="106"/>
    </row>
    <row r="23" customFormat="false" ht="22.35" hidden="false" customHeight="false" outlineLevel="0" collapsed="false">
      <c r="B23" s="4" t="n">
        <v>18</v>
      </c>
      <c r="C23" s="105" t="s">
        <v>791</v>
      </c>
      <c r="D23" s="9" t="s">
        <v>774</v>
      </c>
      <c r="E23" s="106"/>
    </row>
    <row r="24" customFormat="false" ht="15" hidden="false" customHeight="false" outlineLevel="0" collapsed="false">
      <c r="B24" s="4" t="n">
        <v>19</v>
      </c>
      <c r="C24" s="105" t="s">
        <v>792</v>
      </c>
      <c r="D24" s="9" t="s">
        <v>774</v>
      </c>
      <c r="E24" s="106"/>
    </row>
    <row r="26" customFormat="false" ht="15" hidden="false" customHeight="false" outlineLevel="0" collapsed="false">
      <c r="B26" s="8"/>
      <c r="C26" s="7" t="s">
        <v>793</v>
      </c>
      <c r="D26" s="8"/>
      <c r="E26" s="8"/>
    </row>
    <row r="27" customFormat="false" ht="15" hidden="false" customHeight="false" outlineLevel="0" collapsed="false">
      <c r="B27" s="4" t="n">
        <v>20</v>
      </c>
      <c r="C27" s="107" t="s">
        <v>794</v>
      </c>
      <c r="D27" s="9" t="s">
        <v>774</v>
      </c>
      <c r="E27" s="106"/>
    </row>
    <row r="28" customFormat="false" ht="15" hidden="false" customHeight="false" outlineLevel="0" collapsed="false">
      <c r="B28" s="4" t="n">
        <v>21</v>
      </c>
      <c r="C28" s="107" t="s">
        <v>795</v>
      </c>
      <c r="D28" s="9" t="s">
        <v>774</v>
      </c>
      <c r="E28" s="106"/>
    </row>
    <row r="29" customFormat="false" ht="15" hidden="false" customHeight="false" outlineLevel="0" collapsed="false">
      <c r="B29" s="4" t="n">
        <v>22</v>
      </c>
      <c r="C29" s="107" t="s">
        <v>796</v>
      </c>
      <c r="D29" s="9" t="s">
        <v>774</v>
      </c>
      <c r="E29" s="106"/>
    </row>
    <row r="30" customFormat="false" ht="15" hidden="false" customHeight="false" outlineLevel="0" collapsed="false">
      <c r="B30" s="4" t="n">
        <v>23</v>
      </c>
      <c r="C30" s="107" t="s">
        <v>797</v>
      </c>
      <c r="D30" s="9" t="s">
        <v>774</v>
      </c>
      <c r="E30" s="106"/>
    </row>
    <row r="31" customFormat="false" ht="15" hidden="false" customHeight="false" outlineLevel="0" collapsed="false">
      <c r="B31" s="4" t="n">
        <v>24</v>
      </c>
      <c r="C31" s="107" t="s">
        <v>798</v>
      </c>
      <c r="D31" s="9" t="s">
        <v>774</v>
      </c>
      <c r="E31" s="106"/>
    </row>
    <row r="32" customFormat="false" ht="15" hidden="false" customHeight="false" outlineLevel="0" collapsed="false">
      <c r="B32" s="4" t="n">
        <v>25</v>
      </c>
      <c r="C32" s="107" t="s">
        <v>799</v>
      </c>
      <c r="D32" s="9" t="s">
        <v>774</v>
      </c>
      <c r="E32" s="106"/>
    </row>
    <row r="33" customFormat="false" ht="15" hidden="false" customHeight="false" outlineLevel="0" collapsed="false">
      <c r="B33" s="4" t="n">
        <v>26</v>
      </c>
      <c r="C33" s="107" t="s">
        <v>800</v>
      </c>
      <c r="D33" s="9" t="s">
        <v>774</v>
      </c>
      <c r="E33" s="106"/>
    </row>
    <row r="34" customFormat="false" ht="15" hidden="false" customHeight="false" outlineLevel="0" collapsed="false">
      <c r="B34" s="4" t="n">
        <v>27</v>
      </c>
      <c r="C34" s="107" t="s">
        <v>801</v>
      </c>
      <c r="D34" s="9" t="s">
        <v>774</v>
      </c>
      <c r="E34" s="106"/>
    </row>
    <row r="35" customFormat="false" ht="15" hidden="false" customHeight="false" outlineLevel="0" collapsed="false">
      <c r="B35" s="4" t="n">
        <v>28</v>
      </c>
      <c r="C35" s="107" t="s">
        <v>802</v>
      </c>
      <c r="D35" s="9" t="s">
        <v>774</v>
      </c>
      <c r="E35" s="106"/>
    </row>
    <row r="37" customFormat="false" ht="15" hidden="false" customHeight="false" outlineLevel="0" collapsed="false">
      <c r="B37" s="8"/>
      <c r="C37" s="7" t="s">
        <v>803</v>
      </c>
      <c r="D37" s="8"/>
      <c r="E37" s="8"/>
    </row>
    <row r="38" customFormat="false" ht="15" hidden="false" customHeight="false" outlineLevel="0" collapsed="false">
      <c r="B38" s="4" t="n">
        <v>29</v>
      </c>
      <c r="C38" s="107" t="s">
        <v>804</v>
      </c>
      <c r="D38" s="9" t="s">
        <v>774</v>
      </c>
      <c r="E38" s="106"/>
    </row>
    <row r="39" customFormat="false" ht="15" hidden="false" customHeight="false" outlineLevel="0" collapsed="false">
      <c r="B39" s="4" t="n">
        <v>30</v>
      </c>
      <c r="C39" s="107" t="s">
        <v>805</v>
      </c>
      <c r="D39" s="9" t="s">
        <v>774</v>
      </c>
      <c r="E39" s="106"/>
    </row>
    <row r="40" customFormat="false" ht="15" hidden="false" customHeight="false" outlineLevel="0" collapsed="false">
      <c r="B40" s="4" t="n">
        <v>31</v>
      </c>
      <c r="C40" s="107" t="s">
        <v>806</v>
      </c>
      <c r="D40" s="9" t="s">
        <v>774</v>
      </c>
      <c r="E40" s="106"/>
    </row>
    <row r="41" customFormat="false" ht="15" hidden="false" customHeight="false" outlineLevel="0" collapsed="false">
      <c r="B41" s="4" t="n">
        <v>32</v>
      </c>
      <c r="C41" s="107" t="s">
        <v>807</v>
      </c>
      <c r="D41" s="9" t="s">
        <v>774</v>
      </c>
      <c r="E41" s="106"/>
    </row>
    <row r="42" customFormat="false" ht="15" hidden="false" customHeight="false" outlineLevel="0" collapsed="false">
      <c r="B42" s="4" t="n">
        <v>33</v>
      </c>
      <c r="C42" s="107" t="s">
        <v>808</v>
      </c>
      <c r="D42" s="9" t="s">
        <v>774</v>
      </c>
      <c r="E42" s="106"/>
    </row>
    <row r="43" customFormat="false" ht="15" hidden="false" customHeight="false" outlineLevel="0" collapsed="false">
      <c r="B43" s="4" t="n">
        <v>34</v>
      </c>
      <c r="C43" s="107" t="s">
        <v>809</v>
      </c>
      <c r="D43" s="9" t="s">
        <v>774</v>
      </c>
      <c r="E43" s="106"/>
    </row>
    <row r="44" customFormat="false" ht="15" hidden="false" customHeight="false" outlineLevel="0" collapsed="false">
      <c r="B44" s="4" t="n">
        <v>35</v>
      </c>
      <c r="C44" s="107" t="s">
        <v>810</v>
      </c>
      <c r="D44" s="9" t="s">
        <v>774</v>
      </c>
      <c r="E44" s="106"/>
    </row>
    <row r="46" customFormat="false" ht="15" hidden="false" customHeight="false" outlineLevel="0" collapsed="false">
      <c r="B46" s="8"/>
      <c r="C46" s="7" t="s">
        <v>811</v>
      </c>
      <c r="D46" s="8"/>
      <c r="E46" s="8"/>
    </row>
    <row r="47" customFormat="false" ht="15" hidden="false" customHeight="false" outlineLevel="0" collapsed="false">
      <c r="B47" s="4" t="n">
        <v>36</v>
      </c>
      <c r="C47" s="107" t="s">
        <v>812</v>
      </c>
      <c r="D47" s="9" t="s">
        <v>774</v>
      </c>
      <c r="E47" s="106"/>
    </row>
    <row r="48" customFormat="false" ht="23.85" hidden="false" customHeight="false" outlineLevel="0" collapsed="false">
      <c r="B48" s="4" t="n">
        <v>37</v>
      </c>
      <c r="C48" s="107" t="s">
        <v>813</v>
      </c>
      <c r="D48" s="9" t="s">
        <v>774</v>
      </c>
      <c r="E48" s="106"/>
    </row>
    <row r="49" customFormat="false" ht="15" hidden="false" customHeight="false" outlineLevel="0" collapsed="false">
      <c r="B49" s="4" t="n">
        <v>38</v>
      </c>
      <c r="C49" s="107" t="s">
        <v>814</v>
      </c>
      <c r="D49" s="9" t="s">
        <v>774</v>
      </c>
      <c r="E49" s="106"/>
    </row>
    <row r="50" customFormat="false" ht="15" hidden="false" customHeight="false" outlineLevel="0" collapsed="false">
      <c r="B50" s="4" t="n">
        <v>39</v>
      </c>
      <c r="C50" s="107" t="s">
        <v>815</v>
      </c>
      <c r="D50" s="9" t="s">
        <v>774</v>
      </c>
      <c r="E50" s="106"/>
    </row>
    <row r="51" customFormat="false" ht="15" hidden="false" customHeight="false" outlineLevel="0" collapsed="false">
      <c r="B51" s="4" t="n">
        <v>40</v>
      </c>
      <c r="C51" s="107" t="s">
        <v>816</v>
      </c>
      <c r="D51" s="9" t="s">
        <v>774</v>
      </c>
      <c r="E51" s="10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817</v>
      </c>
    </row>
    <row r="2" customFormat="false" ht="15" hidden="false" customHeight="false" outlineLevel="0" collapsed="false">
      <c r="A2" s="2" t="s">
        <v>818</v>
      </c>
    </row>
    <row r="4" customFormat="false" ht="15" hidden="false" customHeight="false" outlineLevel="0" collapsed="false">
      <c r="B4" s="17" t="s">
        <v>819</v>
      </c>
      <c r="C4" s="17" t="s">
        <v>820</v>
      </c>
      <c r="D4" s="17" t="s">
        <v>821</v>
      </c>
      <c r="E4" s="17" t="s">
        <v>822</v>
      </c>
      <c r="F4" s="17" t="s">
        <v>823</v>
      </c>
    </row>
    <row r="5" customFormat="false" ht="15" hidden="false" customHeight="false" outlineLevel="0" collapsed="false">
      <c r="B5" s="18" t="s">
        <v>824</v>
      </c>
      <c r="C5" s="9"/>
      <c r="D5" s="9"/>
      <c r="E5" s="9"/>
      <c r="F5" s="68" t="s">
        <v>825</v>
      </c>
    </row>
    <row r="6" customFormat="false" ht="15" hidden="false" customHeight="false" outlineLevel="0" collapsed="false">
      <c r="B6" s="18" t="s">
        <v>826</v>
      </c>
      <c r="C6" s="9"/>
      <c r="D6" s="9"/>
      <c r="E6" s="9"/>
      <c r="F6" s="68" t="s">
        <v>827</v>
      </c>
    </row>
    <row r="7" customFormat="false" ht="15" hidden="false" customHeight="false" outlineLevel="0" collapsed="false">
      <c r="B7" s="18" t="s">
        <v>828</v>
      </c>
      <c r="C7" s="9"/>
      <c r="D7" s="9"/>
      <c r="E7" s="9"/>
      <c r="F7" s="68" t="s">
        <v>829</v>
      </c>
    </row>
    <row r="8" customFormat="false" ht="15" hidden="false" customHeight="false" outlineLevel="0" collapsed="false">
      <c r="B8" s="48" t="s">
        <v>830</v>
      </c>
      <c r="C8" s="9"/>
      <c r="D8" s="9"/>
      <c r="E8" s="9"/>
      <c r="F8" s="68" t="s">
        <v>831</v>
      </c>
    </row>
    <row r="9" customFormat="false" ht="15" hidden="false" customHeight="false" outlineLevel="0" collapsed="false">
      <c r="B9" s="18" t="s">
        <v>460</v>
      </c>
      <c r="C9" s="9"/>
      <c r="D9" s="9"/>
      <c r="E9" s="9"/>
      <c r="F9" s="68" t="s">
        <v>832</v>
      </c>
    </row>
    <row r="10" customFormat="false" ht="15" hidden="false" customHeight="false" outlineLevel="0" collapsed="false">
      <c r="B10" s="18" t="s">
        <v>462</v>
      </c>
      <c r="C10" s="9"/>
      <c r="D10" s="9"/>
      <c r="E10" s="9"/>
      <c r="F10" s="68" t="s">
        <v>833</v>
      </c>
    </row>
    <row r="11" customFormat="false" ht="15" hidden="false" customHeight="false" outlineLevel="0" collapsed="false">
      <c r="B11" s="18" t="s">
        <v>834</v>
      </c>
      <c r="C11" s="9"/>
      <c r="D11" s="9"/>
      <c r="E11" s="9"/>
      <c r="F11" s="68" t="s">
        <v>835</v>
      </c>
    </row>
    <row r="12" customFormat="false" ht="15" hidden="false" customHeight="false" outlineLevel="0" collapsed="false">
      <c r="B12" s="18" t="s">
        <v>836</v>
      </c>
      <c r="C12" s="9"/>
      <c r="D12" s="9"/>
      <c r="E12" s="9"/>
      <c r="F12" s="68" t="s">
        <v>837</v>
      </c>
    </row>
    <row r="13" customFormat="false" ht="15" hidden="false" customHeight="false" outlineLevel="0" collapsed="false">
      <c r="B13" s="18" t="s">
        <v>838</v>
      </c>
      <c r="C13" s="9"/>
      <c r="D13" s="9"/>
      <c r="E13" s="9"/>
      <c r="F13" s="68" t="s">
        <v>839</v>
      </c>
    </row>
    <row r="14" customFormat="false" ht="15" hidden="false" customHeight="false" outlineLevel="0" collapsed="false">
      <c r="B14" s="18" t="s">
        <v>840</v>
      </c>
      <c r="C14" s="9"/>
      <c r="D14" s="9"/>
      <c r="E14" s="9"/>
      <c r="F14" s="68" t="s">
        <v>841</v>
      </c>
    </row>
    <row r="15" customFormat="false" ht="15" hidden="false" customHeight="false" outlineLevel="0" collapsed="false">
      <c r="B15" s="18" t="s">
        <v>842</v>
      </c>
      <c r="C15" s="9"/>
      <c r="D15" s="9"/>
      <c r="E15" s="9"/>
      <c r="F15" s="68" t="s">
        <v>843</v>
      </c>
    </row>
    <row r="16" customFormat="false" ht="15" hidden="false" customHeight="false" outlineLevel="0" collapsed="false">
      <c r="B16" s="18" t="s">
        <v>844</v>
      </c>
      <c r="C16" s="9"/>
      <c r="D16" s="9"/>
      <c r="E16" s="9"/>
      <c r="F16" s="68" t="s">
        <v>845</v>
      </c>
    </row>
    <row r="17" customFormat="false" ht="15" hidden="false" customHeight="false" outlineLevel="0" collapsed="false">
      <c r="B17" s="18" t="s">
        <v>846</v>
      </c>
      <c r="C17" s="9"/>
      <c r="D17" s="9"/>
      <c r="E17" s="9"/>
      <c r="F17" s="68" t="s">
        <v>847</v>
      </c>
    </row>
    <row r="18" customFormat="false" ht="15" hidden="false" customHeight="false" outlineLevel="0" collapsed="false">
      <c r="B18" s="18" t="s">
        <v>848</v>
      </c>
      <c r="C18" s="9"/>
      <c r="D18" s="9"/>
      <c r="E18" s="9"/>
      <c r="F18" s="68" t="s">
        <v>849</v>
      </c>
    </row>
    <row r="19" customFormat="false" ht="15" hidden="false" customHeight="false" outlineLevel="0" collapsed="false">
      <c r="B19" s="18" t="s">
        <v>850</v>
      </c>
      <c r="C19" s="9"/>
      <c r="D19" s="9"/>
      <c r="E19" s="9"/>
      <c r="F19" s="68" t="s">
        <v>851</v>
      </c>
    </row>
    <row r="20" customFormat="false" ht="15" hidden="false" customHeight="false" outlineLevel="0" collapsed="false">
      <c r="B20" s="18" t="s">
        <v>852</v>
      </c>
      <c r="C20" s="9"/>
      <c r="D20" s="9"/>
      <c r="E20" s="9"/>
      <c r="F20" s="68" t="s">
        <v>853</v>
      </c>
    </row>
    <row r="21" customFormat="false" ht="15" hidden="false" customHeight="false" outlineLevel="0" collapsed="false">
      <c r="B21" s="18" t="s">
        <v>854</v>
      </c>
      <c r="C21" s="9"/>
      <c r="D21" s="9"/>
      <c r="E21" s="9"/>
      <c r="F21" s="68" t="s">
        <v>855</v>
      </c>
    </row>
    <row r="22" customFormat="false" ht="15" hidden="false" customHeight="false" outlineLevel="0" collapsed="false">
      <c r="B22" s="18" t="s">
        <v>856</v>
      </c>
      <c r="C22" s="9"/>
      <c r="D22" s="9"/>
      <c r="E22" s="9"/>
      <c r="F22" s="68" t="s">
        <v>857</v>
      </c>
    </row>
    <row r="23" customFormat="false" ht="15" hidden="false" customHeight="false" outlineLevel="0" collapsed="false">
      <c r="B23" s="18" t="s">
        <v>858</v>
      </c>
      <c r="C23" s="9"/>
      <c r="D23" s="9"/>
      <c r="E23" s="9"/>
      <c r="F23" s="68" t="s">
        <v>859</v>
      </c>
    </row>
    <row r="24" customFormat="false" ht="15" hidden="false" customHeight="false" outlineLevel="0" collapsed="false">
      <c r="B24" s="18" t="s">
        <v>860</v>
      </c>
      <c r="C24" s="9"/>
      <c r="D24" s="9"/>
      <c r="E24" s="9"/>
      <c r="F24" s="68" t="s">
        <v>861</v>
      </c>
    </row>
    <row r="25" customFormat="false" ht="15" hidden="false" customHeight="false" outlineLevel="0" collapsed="false">
      <c r="B25" s="18" t="s">
        <v>862</v>
      </c>
      <c r="C25" s="9"/>
      <c r="D25" s="9"/>
      <c r="E25" s="9"/>
      <c r="F25" s="68" t="s">
        <v>863</v>
      </c>
    </row>
    <row r="26" customFormat="false" ht="15" hidden="false" customHeight="false" outlineLevel="0" collapsed="false">
      <c r="B26" s="18" t="s">
        <v>864</v>
      </c>
      <c r="C26" s="9"/>
      <c r="D26" s="9"/>
      <c r="E26" s="9"/>
      <c r="F26" s="68" t="s">
        <v>865</v>
      </c>
    </row>
    <row r="27" customFormat="false" ht="15" hidden="false" customHeight="false" outlineLevel="0" collapsed="false">
      <c r="B27" s="18" t="s">
        <v>866</v>
      </c>
      <c r="C27" s="9"/>
      <c r="D27" s="9"/>
      <c r="E27" s="9"/>
      <c r="F27" s="68" t="s">
        <v>867</v>
      </c>
    </row>
    <row r="28" customFormat="false" ht="15" hidden="false" customHeight="false" outlineLevel="0" collapsed="false">
      <c r="B28" s="48" t="s">
        <v>868</v>
      </c>
      <c r="C28" s="9"/>
      <c r="D28" s="9"/>
      <c r="E28" s="9"/>
      <c r="F28" s="68" t="s">
        <v>869</v>
      </c>
    </row>
    <row r="29" customFormat="false" ht="15" hidden="false" customHeight="false" outlineLevel="0" collapsed="false">
      <c r="B29" s="18" t="s">
        <v>870</v>
      </c>
      <c r="C29" s="9"/>
      <c r="D29" s="9"/>
      <c r="E29" s="9"/>
      <c r="F29" s="68" t="s">
        <v>871</v>
      </c>
    </row>
    <row r="30" customFormat="false" ht="15" hidden="false" customHeight="false" outlineLevel="0" collapsed="false">
      <c r="B30" s="18" t="s">
        <v>872</v>
      </c>
      <c r="C30" s="9"/>
      <c r="D30" s="9"/>
      <c r="E30" s="9"/>
      <c r="F30" s="68" t="s">
        <v>873</v>
      </c>
    </row>
    <row r="31" customFormat="false" ht="15" hidden="false" customHeight="false" outlineLevel="0" collapsed="false">
      <c r="B31" s="18" t="s">
        <v>874</v>
      </c>
      <c r="C31" s="9"/>
      <c r="D31" s="9"/>
      <c r="E31" s="9"/>
      <c r="F31" s="68" t="s">
        <v>875</v>
      </c>
    </row>
    <row r="32" customFormat="false" ht="15" hidden="false" customHeight="false" outlineLevel="0" collapsed="false">
      <c r="B32" s="18" t="s">
        <v>876</v>
      </c>
      <c r="C32" s="9"/>
      <c r="D32" s="9"/>
      <c r="E32" s="9"/>
      <c r="F32" s="68" t="s">
        <v>877</v>
      </c>
    </row>
    <row r="33" customFormat="false" ht="15" hidden="false" customHeight="false" outlineLevel="0" collapsed="false">
      <c r="B33" s="18" t="s">
        <v>878</v>
      </c>
      <c r="C33" s="9"/>
      <c r="D33" s="9"/>
      <c r="E33" s="9"/>
      <c r="F33" s="68" t="s">
        <v>879</v>
      </c>
    </row>
    <row r="34" customFormat="false" ht="15" hidden="false" customHeight="false" outlineLevel="0" collapsed="false">
      <c r="B34" s="18" t="s">
        <v>880</v>
      </c>
      <c r="C34" s="9"/>
      <c r="D34" s="9"/>
      <c r="E34" s="9"/>
      <c r="F34" s="68" t="s">
        <v>881</v>
      </c>
    </row>
    <row r="35" customFormat="false" ht="15" hidden="false" customHeight="false" outlineLevel="0" collapsed="false">
      <c r="B35" s="18" t="s">
        <v>882</v>
      </c>
      <c r="C35" s="9"/>
      <c r="D35" s="9"/>
      <c r="E35" s="9"/>
      <c r="F35" s="68" t="s">
        <v>883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2026-08-10T20:36:39Z</dcterms:created>
  <dc:creator>openpyxl</dc:creator>
  <dc:description/>
  <dc:language>en-US</dc:language>
  <cp:lastModifiedBy/>
  <dcterms:modified xsi:type="dcterms:W3CDTF">2026-08-10T20:36:39Z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