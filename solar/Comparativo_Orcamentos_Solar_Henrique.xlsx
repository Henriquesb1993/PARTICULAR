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<sst xmlns="http://schemas.openxmlformats.org/spreadsheetml/2006/main" count="1169" uniqueCount="965">
  <si>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</si>
  <si>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</si>
  <si>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</si>
  <si>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</si>
  <si>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</si>
  <si>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</si>
  <si>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</si>
  <si>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</si>
  <si>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</si>
  <si>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</si>
  <si>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</si>
  <si>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</si>
  <si>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</si>
  <si>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</si>
  <si>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</si>
  <si>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</si>
  <si>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</si>
  <si>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</si>
  <si>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</si>
  <si>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</si>
  <si>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</si>
  <si>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</si>
  <si>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</si>
  <si>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</si>
  <si>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</si>
  <si>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</si>
  <si>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</si>
  <si>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</si>
  <si>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</si>
  <si>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</si>
  <si>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</si>
  <si>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</si>
  <si>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</si>
  <si>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</si>
  <si>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</si>
  <si>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</si>
  <si>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</si>
  <si>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</si>
  <si>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</si>
  <si>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</si>
  <si>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</si>
  <si>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</si>
  <si>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</si>
  <si>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</si>
  <si>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</si>
  <si>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</si>
  <si>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</si>
  <si>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</si>
  <si>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</si>
  <si>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</si>
  <si>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</si>
  <si>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</si>
  <si>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</si>
  <si>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</si>
  <si>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</si>
  <si>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</si>
  <si>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</si>
  <si>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</si>
  <si>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</si>
  <si>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</si>
  <si>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</si>
  <si>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</si>
  <si>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</si>
  <si>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</si>
  <si>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</si>
  <si>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</si>
  <si>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</si>
  <si>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</si>
  <si>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</si>
  <si>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</si>
  <si>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</si>
  <si>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</si>
  <si>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</si>
  <si>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</si>
  <si>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</si>
  <si>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</si>
  <si>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</si>
  <si>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</si>
  <si>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</si>
  <si>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</si>
  <si>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</si>
  <si>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</si>
  <si>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</si>
  <si>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</si>
  <si>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</si>
  <si>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</si>
  <si>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</si>
  <si>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</si>
  <si>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</si>
  <si>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</si>
  <si>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</si>
  <si>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</si>
  <si>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</si>
  <si>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</si>
  <si>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</si>
  <si>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</si>
  <si>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</si>
  <si>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</si>
  <si>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</si>
  <si>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</si>
  <si>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</si>
  <si>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</si>
  <si>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</si>
  <si>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</si>
  <si>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</si>
  <si>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</si>
  <si>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</si>
  <si>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</si>
  <si>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</si>
  <si>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</si>
  <si>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</si>
  <si>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</si>
  <si>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</si>
  <si>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</si>
  <si>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</si>
  <si>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</si>
  <si>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</si>
  <si>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</si>
  <si>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</si>
  <si>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</si>
  <si>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</si>
  <si>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</si>
  <si>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</si>
  <si>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</si>
  <si>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</si>
  <si>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</si>
  <si>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</si>
  <si>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</si>
  <si>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</si>
  <si>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</si>
  <si>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</si>
  <si>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</si>
  <si>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</si>
  <si>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</si>
  <si>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</si>
  <si>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</si>
  <si>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</si>
  <si>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</si>
  <si>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</si>
  <si>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</si>
  <si>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</si>
  <si>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</si>
  <si>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</si>
  <si>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</si>
  <si>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</si>
  <si>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</si>
  <si>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</si>
  <si>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</si>
  <si>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</si>
  <si>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</si>
  <si>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</si>
  <si>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</si>
  <si>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</si>
  <si>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</si>
  <si>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</si>
  <si>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</si>
  <si>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</si>
  <si>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</si>
  <si>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</si>
  <si>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</si>
  <si>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</si>
  <si>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</si>
  <si>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</si>
  <si>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</si>
  <si>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</si>
  <si>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</si>
  <si>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</si>
  <si>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</si>
  <si>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</si>
  <si>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</si>
  <si>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</si>
  <si>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</si>
  <si>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</si>
  <si>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</si>
  <si>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</si>
  <si>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</si>
  <si>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</si>
  <si>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</si>
  <si>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</si>
  <si>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</si>
  <si>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</si>
  <si>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</si>
  <si>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</si>
  <si>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</si>
  <si>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</si>
  <si>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</si>
  <si>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</si>
  <si>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</si>
  <si>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</si>
  <si>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</si>
  <si>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</si>
  <si>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</si>
  <si>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</si>
  <si>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</si>
  <si>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</si>
  <si>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</si>
  <si>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</si>
  <si>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</si>
  <si>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</si>
  <si>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</si>
  <si>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</si>
  <si>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</si>
  <si>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</si>
  <si>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</si>
  <si>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</si>
  <si>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</si>
  <si>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</si>
  <si>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</si>
  <si>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</si>
  <si>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</si>
  <si>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</si>
  <si>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</si>
  <si>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</si>
  <si>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</si>
  <si>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</si>
  <si>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</si>
  <si>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</si>
  <si>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</si>
  <si>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</si>
  <si>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</si>
  <si>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</si>
  <si>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</si>
  <si>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</si>
  <si>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</si>
  <si>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</si>
  <si>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</si>
  <si>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</si>
  <si>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</si>
  <si>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</si>
  <si>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</si>
  <si>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</si>
  <si>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</si>
  <si>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</si>
  <si>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</si>
  <si>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</si>
  <si>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</si>
  <si>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</si>
  <si>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</si>
  <si>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</si>
  <si>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</si>
  <si>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</si>
  <si>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</si>
  <si>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</si>
  <si>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</si>
  <si>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</si>
  <si>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</si>
  <si>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</si>
  <si>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</si>
  <si>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</si>
  <si>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</si>
  <si>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</si>
  <si>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</si>
  <si>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</si>
  <si>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</si>
  <si>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</si>
  <si>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</si>
  <si>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</si>
  <si>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</si>
  <si>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</si>
  <si>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</si>
  <si>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</si>
  <si>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</si>
  <si>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</si>
  <si>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</si>
  <si>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</si>
  <si>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</si>
  <si>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</si>
  <si>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</si>
  <si>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</si>
  <si>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</si>
  <si>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</si>
  <si>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</si>
  <si>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</si>
  <si>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</si>
  <si>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</si>
  <si>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</si>
  <si>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</si>
  <si>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</si>
  <si>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</si>
  <si>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</si>
  <si>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</si>
  <si>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</si>
  <si>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</si>
  <si>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</si>
  <si>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</si>
  <si>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</si>
  <si>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</si>
  <si>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</si>
  <si>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</si>
  <si>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</si>
  <si>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</si>
  <si>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</si>
  <si>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</si>
  <si>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</si>
  <si>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</si>
  <si>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</si>
  <si>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</si>
  <si>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</si>
  <si>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</si>
  <si>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</si>
  <si>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</si>
  <si>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</si>
  <si>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</si>
  <si>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</si>
  <si>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</si>
  <si>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</si>
  <si>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</si>
  <si>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</si>
  <si>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</si>
  <si>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</si>
  <si>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</si>
  <si>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</si>
  <si>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</si>
  <si>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</si>
  <si>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</si>
  <si>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</si>
  <si>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</si>
  <si>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</si>
  <si>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</si>
  <si>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</si>
  <si>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</si>
  <si>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</si>
  <si>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</si>
  <si>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</si>
  <si>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</si>
  <si>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</si>
  <si>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</si>
  <si>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</si>
  <si>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</si>
  <si>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</si>
  <si>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</si>
  <si>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</si>
  <si>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</si>
  <si>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</si>
  <si>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</si>
  <si>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</si>
  <si>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</si>
  <si>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</si>
  <si>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</si>
  <si>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</si>
  <si>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</si>
  <si>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</si>
  <si>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</si>
  <si>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</si>
  <si>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</si>
  <si>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</si>
  <si>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</si>
  <si>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</si>
  <si>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</si>
  <si>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</si>
  <si>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</si>
  <si>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</si>
  <si>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</si>
  <si>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</si>
  <si>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</si>
  <si>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</si>
  <si>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</si>
  <si>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</si>
  <si>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</si>
  <si>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</si>
  <si>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</si>
  <si>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</si>
  <si>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</si>
  <si>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</si>
  <si>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</si>
  <si>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</si>
  <si>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</si>
  <si>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</si>
  <si>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</si>
  <si>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</si>
  <si>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</si>
  <si>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</si>
  <si>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</si>
  <si>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</si>
  <si>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</si>
  <si>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</si>
  <si>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</si>
  <si>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</si>
  <si>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</si>
  <si>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</si>
  <si>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</si>
  <si>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</si>
  <si>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</si>
  <si>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</si>
  <si>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</si>
  <si>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</si>
  <si>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</si>
  <si>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</si>
  <si>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</si>
  <si>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</si>
  <si>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</si>
  <si>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</si>
  <si>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</si>
  <si>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</si>
  <si>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</si>
  <si>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</si>
  <si>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</si>
  <si>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</si>
  <si>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</si>
  <si>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</si>
  <si>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</si>
  <si>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</si>
  <si>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</si>
  <si>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</si>
  <si>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</si>
  <si>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</si>
  <si>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</si>
  <si>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</si>
  <si>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</si>
  <si>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</si>
  <si>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</si>
  <si>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</si>
  <si>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</si>
  <si>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</si>
  <si>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</si>
  <si>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</si>
  <si>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</si>
  <si>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</si>
  <si>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</si>
  <si>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</si>
  <si>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</si>
  <si>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</si>
  <si>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</si>
  <si>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</si>
  <si>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</si>
  <si>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</si>
  <si>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</si>
  <si>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</si>
  <si>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</si>
  <si>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</si>
  <si>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</si>
  <si>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</si>
  <si>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</si>
  <si>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</si>
  <si>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</si>
  <si>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</si>
  <si>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</si>
  <si>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</si>
  <si>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</si>
  <si>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</si>
  <si>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</si>
  <si>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</si>
  <si>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</si>
  <si>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Colunas A e B: TecSolarSP, preco de MATERIAL. Colunas C a F: preco INSTALADO. Coluna G reservada. A linha 31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</si>
  <si>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</si>
  <si>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</si>
  <si>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</si>
  <si>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</si>
  <si>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</si>
  <si>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</si>
  <si>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
RONMA 585W
AUXSOL 3 kW</t>
  </si>
  <si>
    <t xml:space="preserve">G) SunWash
MICRO 10x650W
4x 2,25 kW</t>
  </si>
  <si>
    <t xml:space="preserve">H) Bruno G4
(a receber)</t>
  </si>
  <si>
    <t xml:space="preserve">OBSERVACOES / ALERTAS</t>
  </si>
  <si>
    <t xml:space="preserve">Fornecedor / contato</t>
  </si>
  <si>
    <t xml:space="preserve">TecSolarSP (11) 97365-9192</t>
  </si>
  <si>
    <t xml:space="preserve">SunWash - Yuri (16) 99353-4346</t>
  </si>
  <si>
    <t xml:space="preserve">William (11) 99636-5333</t>
  </si>
  <si>
    <t xml:space="preserve">Sun Coast - Alexandre (11) 91544-8947</t>
  </si>
  <si>
    <t xml:space="preserve">Bruno G4 (11) 96861-7830</t>
  </si>
  <si>
    <t xml:space="preserve">Seis orcamentos de cinco empresas diferentes. O Bruno G4 ainda nao enviou nada.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</si>
  <si>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</si>
  <si>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</si>
  <si>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</si>
  <si>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</si>
  <si>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ALERTA: SunWash e William nao informaram CNPJ. Sem CNPJ nao existe garantia exigivel. Sun Coast e a unica que trouxe CNPJ na propria proposta.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</si>
  <si>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</si>
  <si>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</si>
  <si>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</si>
  <si>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</si>
  <si>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</si>
  <si>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</si>
  <si>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</si>
  <si>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Nada recebido</t>
  </si>
  <si>
    <t xml:space="preserve">ALERTA: orcamento por WhatsApp nao e proposta comercial. So Sun Coast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</si>
  <si>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</si>
  <si>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</si>
  <si>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</si>
  <si>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</si>
  <si>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28 a 30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</si>
  <si>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</si>
  <si>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</si>
  <si>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</si>
  <si>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'620kw', erro de digitacao para 620 W.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</si>
  <si>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</si>
  <si>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</si>
  <si>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</si>
  <si>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</si>
  <si>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</si>
  <si>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</si>
  <si>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Nao informado (650 W)</t>
  </si>
  <si>
    <t xml:space="preserve">ALERTA: Maxeon do William e PERC, uma geracao atras. TCL e RONMA sao marcas com pouquissima rede de assistencia de modulo no Brasil - exigir INMETRO e quem honra a garantia aqui.</t>
  </si>
  <si>
    <t xml:space="preserve">POTENCIA DC (kWp)</t>
  </si>
  <si>
    <t xml:space="preserve">Quantidade x potencia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</si>
  <si>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</si>
  <si>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</si>
  <si>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</si>
  <si>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</si>
  <si>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</si>
  <si>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</si>
  <si>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MICROINVERSOR 2,25 kW = 9,0 kW AC</t>
  </si>
  <si>
    <t xml:space="preserve">ALERTA: AUXSOL tem baixa penetracao no Brasil. Huawei e Solis tem assistencia estabelecida.</t>
  </si>
  <si>
    <t xml:space="preserve">Potencia AC do inversor (kW)</t>
  </si>
  <si>
    <t xml:space="preserve">Exigir o codigo exato do modelo e a confirmacao de que e 220 V.</t>
  </si>
  <si>
    <t xml:space="preserve">Numero de MPPTs</t>
  </si>
  <si>
    <t xml:space="preserve">2</t>
  </si>
  <si>
    <t xml:space="preserve">a confirmar</t>
  </si>
  <si>
    <t xml:space="preserve">1</t>
  </si>
  <si>
    <t xml:space="preserve">1 por modulo (10 MPPTs)</t>
  </si>
  <si>
    <t xml:space="preserve">ALERTA: Sun Coast usa 1 MPPT UNICO - os 8 modulos numa string so, exigindo mesma agua e mesma inclinacao, e sombra em 1 modulo derruba tudo. NO OUTRO EXTREMO, a opcao G com microinversor da 1 MPPT POR MODULO: sombra em um modulo nao afeta os outros e da liberdade de usar mais de uma agua do telhado.</t>
  </si>
  <si>
    <t xml:space="preserve">RELACAO DC/AC</t>
  </si>
  <si>
    <t xml:space="preserve">ALERTA: faixa saudavel de 1,10 a 1,35. Sun Coast em 1,56 = acima do limite, com clipping e risco de perder a garantia. William em 1,34, no limite. Opcao G em 0,72 = o oposto: 4 microinversores de 2,25 kW dao 9 kW AC para so 6,5 kWp. PERGUNTAR ao Yuri quantos modulos cada micro aceita - se sao 4, existem 6 canais livres para expansao futura; se nao, voce esta pagando por um micro a mais.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</si>
  <si>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</si>
  <si>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</si>
  <si>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</si>
  <si>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</si>
  <si>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</si>
  <si>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</si>
  <si>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</si>
  <si>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</si>
  <si>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ALERTA: William e Sun Coast dizem COLONIAL, TecSolarSP diz FIBROCIMENTO. Dois contra um: provavelmente a TecSolarSP errou a estrutura inteira. RESOLVER isso antes de qualquer compra.</t>
  </si>
  <si>
    <t xml:space="preserve">Area de telhado estimada (m2)</t>
  </si>
  <si>
    <t xml:space="preserve">Base: a Sun Coast declara 21,12 m2 para 8 modulos, ou 2,64 m2 por modulo. Sem fotos do telhado NAO foi possivel verificar se essa area existe na agua Sudeste.</t>
  </si>
  <si>
    <t xml:space="preserve">Garantia declarada do modulo</t>
  </si>
  <si>
    <t xml:space="preserve">25 anos eficiencia / 15 anos defeito</t>
  </si>
  <si>
    <t xml:space="preserve">So a Sun Coast declarou garantias na proposta. Dos outros, exigir por escrito.</t>
  </si>
  <si>
    <t xml:space="preserve">Garantia declarada do inversor</t>
  </si>
  <si>
    <t xml:space="preserve">10 a 25 anos</t>
  </si>
  <si>
    <t xml:space="preserve">'10 a 25 anos' da Sun Coast e vago: exigir o numero exato para o modelo cotado.</t>
  </si>
  <si>
    <t xml:space="preserve">Garantia declarada do servico</t>
  </si>
  <si>
    <t xml:space="preserve">12 meses</t>
  </si>
  <si>
    <t xml:space="preserve">12 meses de servico e o minimo de mercado.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</si>
  <si>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</si>
  <si>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</si>
  <si>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</si>
  <si>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ALERTA: a Sun Coast exclui EXPLICITAMENTE a adequacao do padrao de entrada, obras no telhado, eletrodutos e o ART estrutural. E honesto ao declarar, mas o custo e seu. Os outros nao declararam exclusoes - o que nao significa que estejam inclusas.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</si>
  <si>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</si>
  <si>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</si>
  <si>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</si>
  <si>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</si>
  <si>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</si>
  <si>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</si>
  <si>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ATENCAO: 18x SEM JUROS pelo mesmo valor a vista e uma vantagem financeira REAL - equivale a um desconto, porque o dinheiro fica rendendo na sua mao. Todas as outras oferecem parcelamento COM juros.</t>
  </si>
  <si>
    <t xml:space="preserve">PRECOS</t>
  </si>
  <si>
    <t xml:space="preserve">Preco BASE informado (R$)</t>
  </si>
  <si>
    <t xml:space="preserve">A, B e E: valor do KIT/material (cotacoes Belenergy). C, D e F: projeto completo, ja com instalacao - por isso as linhas 28 e 29 ficam zeradas nelas.</t>
  </si>
  <si>
    <t xml:space="preserve">Acrescimo regional a confirmar (R$)</t>
  </si>
  <si>
    <t xml:space="preserve">ALERTA: a SunWash citou +R$ 1.800 pela sua regiao no kit Intelbras e nao repetiu no orcamento TCL.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</si>
  <si>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</si>
  <si>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 C, D e F declaram homologacao inclusa.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</si>
  <si>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</si>
  <si>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</si>
  <si>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</si>
  <si>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seis incluiu, e a Sun Coast exclui por escrito.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</si>
  <si>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</si>
  <si>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</si>
  <si>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</si>
  <si>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</si>
  <si>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</si>
  <si>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</si>
  <si>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</si>
  <si>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</si>
  <si>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</si>
  <si>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</si>
  <si>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</si>
  <si>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</si>
  <si>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</si>
  <si>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</si>
  <si>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 na peca da TecSolarSP. C e D: 700 kWh/mes x 12. E: 6.151. F: 6.367,50 (530,62 x 12). B: nao informada.</t>
  </si>
  <si>
    <t xml:space="preserve">DESVIO DA PROMESSA</t>
  </si>
  <si>
    <t xml:space="preserve">ALERTA: negativo = o vendedor promete mais do que o telhado entrega. Positivo = foi conservador.</t>
  </si>
  <si>
    <t xml:space="preserve">Geracao se o telhado fosse NORTE (kWh)</t>
  </si>
  <si>
    <t xml:space="preserve">Compare com a linha 39: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</si>
  <si>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</si>
  <si>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</si>
  <si>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</si>
  <si>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</si>
  <si>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</si>
  <si>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</si>
  <si>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</si>
  <si>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</si>
  <si>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</si>
  <si>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</si>
  <si>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</si>
  <si>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</si>
  <si>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</si>
  <si>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</si>
  <si>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</si>
  <si>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</si>
  <si>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</si>
  <si>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</si>
  <si>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</si>
  <si>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</si>
  <si>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</si>
  <si>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linha 61.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</si>
  <si>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</si>
  <si>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</si>
  <si>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</si>
  <si>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</si>
  <si>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</si>
  <si>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</si>
  <si>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</si>
  <si>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</si>
  <si>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</si>
  <si>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Solis 4 kW e os AUXSOL de 5 e 3 kW nao aceitam nenhum modulo a mais. A e B tem folga minima (1 modulo). A opcao G com microinversores e a unica com folga real - mas o limite verdadeiro e o numero de CANAIS livres nos micros, nao a potencia. CONFIRMAR com o Yuri.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</si>
  <si>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</si>
  <si>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</si>
  <si>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voce pagou por potencia de inversor que nao vai usar - aceitavel se for folga proposital para expansao, ruim se for so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</si>
  <si>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</si>
  <si>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</si>
  <si>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</si>
  <si>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</si>
  <si>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</si>
  <si>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</si>
  <si>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</si>
  <si>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</si>
  <si>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a Sun Coast tem payback parecido com o da SunWash, mas o sistema e 25% menor.</t>
  </si>
  <si>
    <t xml:space="preserve">Payback ignora a energia que voce NAO compensou. Um sistema pequeno se paga rapido e depois te deixa pagando conta para sempre.</t>
  </si>
  <si>
    <t xml:space="preserve">Por isso a linha 61 (lucro em 20 anos) e o criterio correto, e nao a linha 57.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</si>
  <si>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</si>
  <si>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</si>
  <si>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</si>
  <si>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</si>
  <si>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</si>
  <si>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</si>
  <si>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</si>
  <si>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</si>
  <si>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</si>
  <si>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</si>
  <si>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</si>
  <si>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</si>
  <si>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</si>
  <si>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</si>
  <si>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</si>
  <si>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</si>
  <si>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</si>
  <si>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</si>
  <si>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</si>
  <si>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</si>
  <si>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</si>
  <si>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</si>
  <si>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</si>
  <si>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</si>
  <si>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</si>
  <si>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</si>
  <si>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</si>
  <si>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</si>
  <si>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</si>
  <si>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</si>
  <si>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</si>
  <si>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</si>
  <si>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</si>
  <si>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</si>
  <si>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</si>
  <si>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</si>
  <si>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</si>
  <si>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</si>
  <si>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</si>
  <si>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</si>
  <si>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</si>
  <si>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</si>
  <si>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</si>
  <si>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</si>
  <si>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</si>
  <si>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</si>
  <si>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</si>
  <si>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</si>
  <si>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</si>
  <si>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</si>
  <si>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</si>
  <si>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</si>
  <si>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</si>
  <si>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</si>
  <si>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</si>
  <si>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</si>
  <si>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</si>
  <si>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</si>
  <si>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</si>
  <si>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</si>
  <si>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</si>
  <si>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</si>
  <si>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</si>
  <si>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</si>
  <si>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</si>
  <si>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</si>
  <si>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</si>
  <si>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</si>
  <si>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</si>
  <si>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</si>
  <si>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</si>
  <si>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</si>
  <si>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</si>
  <si>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</si>
  <si>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</si>
  <si>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</si>
  <si>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</si>
  <si>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</si>
  <si>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</si>
  <si>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</si>
  <si>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</si>
  <si>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</si>
  <si>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</si>
  <si>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</si>
  <si>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</si>
  <si>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</si>
  <si>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</si>
  <si>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</si>
  <si>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</si>
  <si>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</si>
  <si>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</si>
  <si>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</si>
  <si>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</si>
  <si>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</si>
  <si>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</si>
  <si>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</si>
  <si>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</si>
  <si>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</si>
  <si>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</si>
  <si>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</si>
  <si>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</si>
  <si>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</si>
  <si>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</si>
  <si>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</si>
  <si>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</si>
  <si>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RONMA 585W AUXSOL 3 kW</t>
  </si>
  <si>
    <t xml:space="preserve">G) SunWash MICRO 10x650W 4x 2,25 kW</t>
  </si>
  <si>
    <t xml:space="preserve">H)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</si>
  <si>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</si>
  <si>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</si>
  <si>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</si>
  <si>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</si>
  <si>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</si>
  <si>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</si>
  <si>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</si>
  <si>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</si>
  <si>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</si>
  <si>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</si>
  <si>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</si>
  <si>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</si>
  <si>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</si>
  <si>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</si>
  <si>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</si>
  <si>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</si>
  <si>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</si>
  <si>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</si>
  <si>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</si>
  <si>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</si>
  <si>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</si>
  <si>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</si>
  <si>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</si>
  <si>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</si>
  <si>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</si>
  <si>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</si>
  <si>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</si>
  <si>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</si>
  <si>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</si>
  <si>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</si>
  <si>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</si>
  <si>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</si>
  <si>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</si>
  <si>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</si>
  <si>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</si>
  <si>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</si>
  <si>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</si>
  <si>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</si>
  <si>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</si>
  <si>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</si>
  <si>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</si>
  <si>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</si>
  <si>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</si>
  <si>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</si>
  <si>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</si>
  <si>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</si>
  <si>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</si>
  <si>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</si>
  <si>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</si>
  <si>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</si>
  <si>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</si>
  <si>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</si>
  <si>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</si>
  <si>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</si>
  <si>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</si>
  <si>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</si>
  <si>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</si>
  <si>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</si>
  <si>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</si>
  <si>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</si>
  <si>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</si>
  <si>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</si>
  <si>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</si>
  <si>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</si>
  <si>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</si>
  <si>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</si>
  <si>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</si>
  <si>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</si>
  <si>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</si>
  <si>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</si>
  <si>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</si>
  <si>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</si>
  <si>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</si>
  <si>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</si>
  <si>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</si>
  <si>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</si>
  <si>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</si>
  <si>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</si>
  <si>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</si>
  <si>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</si>
  <si>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</si>
  <si>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
Economia</t>
  </si>
  <si>
    <t xml:space="preserve">F) Sun Coast
Acumulado</t>
  </si>
  <si>
    <t xml:space="preserve">F) Sun Coast
Fluxo</t>
  </si>
  <si>
    <t xml:space="preserve">G) SunWash
Economia</t>
  </si>
  <si>
    <t xml:space="preserve">G) SunWash
Acumulado</t>
  </si>
  <si>
    <t xml:space="preserve">G) SunWash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</si>
  <si>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</si>
  <si>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</si>
  <si>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</si>
  <si>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</si>
  <si>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</si>
  <si>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</si>
  <si>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</si>
  <si>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</si>
  <si>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</si>
  <si>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</si>
  <si>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</si>
  <si>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</si>
  <si>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</si>
  <si>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</si>
  <si>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</si>
  <si>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</si>
  <si>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</si>
  <si>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</si>
  <si>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</si>
  <si>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</si>
  <si>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</si>
  <si>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</si>
  <si>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</si>
  <si>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</si>
  <si>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</si>
  <si>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</si>
  <si>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</si>
  <si>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</si>
  <si>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</si>
  <si>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</si>
  <si>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</si>
  <si>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</si>
  <si>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</si>
  <si>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</si>
  <si>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</si>
  <si>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</si>
  <si>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</si>
  <si>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</si>
  <si>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</si>
  <si>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</si>
  <si>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</si>
  <si>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</si>
  <si>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</si>
  <si>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QUAL A MARCA E O MODELO DOS 4 MICROINVERSORES? Deye, Hoymiles, APsystems e Sungrow tem rede no Brasil. Marca desconhecida em microinversor e pior que em inversor string, porque sao 4 equipamentos DEBAIXO dos modulos: trocar um exige desmontar placa.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</si>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</sst>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/>
    </row>
    <row r="18" customFormat="false" ht="15" hidden="false" customHeight="false" outlineLevel="0" collapsed="false">
      <c r="B18" s="3" t="s">
        <v>15</v>
      </c>
    </row>
    <row r="19" customFormat="false" ht="15" hidden="false" customHeight="false" outlineLevel="0" collapsed="false">
      <c r="B19" s="5" t="s">
        <v>16</v>
      </c>
    </row>
    <row r="20" customFormat="false" ht="15" hidden="false" customHeight="false" outlineLevel="0" collapsed="false">
      <c r="B20" s="4" t="s">
        <v>17</v>
      </c>
    </row>
    <row r="21" customFormat="false" ht="15" hidden="false" customHeight="false" outlineLevel="0" collapsed="false">
      <c r="B21" s="4" t="s">
        <v>18</v>
      </c>
    </row>
    <row r="22" customFormat="false" ht="15" hidden="false" customHeight="false" outlineLevel="0" collapsed="false">
      <c r="B22" s="4" t="s">
        <v>19</v>
      </c>
    </row>
    <row r="23" customFormat="false" ht="15" hidden="false" customHeight="false" outlineLevel="0" collapsed="false">
      <c r="B23" s="4" t="s">
        <v>20</v>
      </c>
    </row>
    <row r="24" customFormat="false" ht="15" hidden="false" customHeight="false" outlineLevel="0" collapsed="false">
      <c r="B24" s="5" t="s">
        <v>21</v>
      </c>
    </row>
    <row r="25" customFormat="false" ht="15" hidden="false" customHeight="false" outlineLevel="0" collapsed="false">
      <c r="B25" s="4" t="s">
        <v>22</v>
      </c>
    </row>
    <row r="26" customFormat="false" ht="15" hidden="false" customHeight="false" outlineLevel="0" collapsed="false">
      <c r="B26" s="4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5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4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/>
    </row>
    <row r="34" customFormat="false" ht="15" hidden="false" customHeight="false" outlineLevel="0" collapsed="false">
      <c r="B34" s="3" t="s">
        <v>30</v>
      </c>
    </row>
    <row r="35" customFormat="false" ht="15" hidden="false" customHeight="false" outlineLevel="0" collapsed="false">
      <c r="B35" s="4" t="s">
        <v>31</v>
      </c>
    </row>
    <row r="36" customFormat="false" ht="15" hidden="false" customHeight="false" outlineLevel="0" collapsed="false">
      <c r="B36" s="4" t="s">
        <v>32</v>
      </c>
    </row>
    <row r="37" customFormat="false" ht="15" hidden="false" customHeight="false" outlineLevel="0" collapsed="false">
      <c r="B37" s="4" t="s">
        <v>33</v>
      </c>
    </row>
    <row r="38" customFormat="false" ht="15" hidden="false" customHeight="false" outlineLevel="0" collapsed="false">
      <c r="B38" s="4" t="s">
        <v>34</v>
      </c>
    </row>
    <row r="39" customFormat="false" ht="15" hidden="false" customHeight="false" outlineLevel="0" collapsed="false">
      <c r="B39" s="4"/>
    </row>
    <row r="40" customFormat="false" ht="15" hidden="false" customHeight="false" outlineLevel="0" collapsed="false">
      <c r="B40" s="3" t="s">
        <v>35</v>
      </c>
    </row>
    <row r="41" customFormat="false" ht="15" hidden="false" customHeight="false" outlineLevel="0" collapsed="false">
      <c r="B41" s="4" t="s">
        <v>36</v>
      </c>
    </row>
    <row r="42" customFormat="false" ht="15" hidden="false" customHeight="false" outlineLevel="0" collapsed="false">
      <c r="B42" s="4" t="s">
        <v>37</v>
      </c>
    </row>
    <row r="43" customFormat="false" ht="15" hidden="false" customHeight="false" outlineLevel="0" collapsed="false">
      <c r="B43" s="4" t="s">
        <v>38</v>
      </c>
    </row>
    <row r="44" customFormat="false" ht="15" hidden="false" customHeight="false" outlineLevel="0" collapsed="false">
      <c r="B44" s="4"/>
    </row>
    <row r="45" customFormat="false" ht="15" hidden="false" customHeight="false" outlineLevel="0" collapsed="false">
      <c r="B45" s="3" t="s">
        <v>39</v>
      </c>
    </row>
    <row r="46" customFormat="false" ht="15" hidden="false" customHeight="false" outlineLevel="0" collapsed="false">
      <c r="B46" s="6" t="s">
        <v>40</v>
      </c>
    </row>
    <row r="47" customFormat="false" ht="15" hidden="false" customHeight="false" outlineLevel="0" collapsed="false">
      <c r="B47" s="4" t="s">
        <v>41</v>
      </c>
    </row>
    <row r="48" customFormat="false" ht="15" hidden="false" customHeight="false" outlineLevel="0" collapsed="false">
      <c r="B48" s="4"/>
    </row>
    <row r="49" customFormat="false" ht="15" hidden="false" customHeight="false" outlineLevel="0" collapsed="false">
      <c r="B49" s="3" t="s">
        <v>42</v>
      </c>
    </row>
    <row r="50" customFormat="false" ht="15" hidden="false" customHeight="false" outlineLevel="0" collapsed="false">
      <c r="B50" s="4" t="s">
        <v>43</v>
      </c>
    </row>
    <row r="51" customFormat="false" ht="15" hidden="false" customHeight="false" outlineLevel="0" collapsed="false">
      <c r="B51" s="4" t="s">
        <v>44</v>
      </c>
    </row>
    <row r="52" customFormat="false" ht="15" hidden="false" customHeight="false" outlineLevel="0" collapsed="false">
      <c r="B52" s="5" t="s">
        <v>45</v>
      </c>
    </row>
    <row r="53" customFormat="false" ht="15" hidden="false" customHeight="false" outlineLevel="0" collapsed="false">
      <c r="B53" s="5" t="s">
        <v>46</v>
      </c>
    </row>
    <row r="54" customFormat="false" ht="15" hidden="false" customHeight="false" outlineLevel="0" collapsed="false">
      <c r="B54" s="5" t="s">
        <v>47</v>
      </c>
    </row>
    <row r="55" customFormat="false" ht="15" hidden="false" customHeight="false" outlineLevel="0" collapsed="false">
      <c r="B55" s="5" t="s">
        <v>48</v>
      </c>
    </row>
    <row r="56" customFormat="false" ht="15" hidden="false" customHeight="false" outlineLevel="0" collapsed="false">
      <c r="B56" s="4"/>
    </row>
    <row r="57" customFormat="false" ht="15" hidden="false" customHeight="false" outlineLevel="0" collapsed="false">
      <c r="B57" s="3" t="s">
        <v>49</v>
      </c>
    </row>
    <row r="58" customFormat="false" ht="15" hidden="false" customHeight="false" outlineLevel="0" collapsed="false">
      <c r="B58" s="4" t="s">
        <v>50</v>
      </c>
    </row>
    <row r="59" customFormat="false" ht="15" hidden="false" customHeight="false" outlineLevel="0" collapsed="false">
      <c r="B59" s="4" t="s">
        <v>51</v>
      </c>
    </row>
    <row r="60" customFormat="false" ht="15" hidden="false" customHeight="false" outlineLevel="0" collapsed="false">
      <c r="B60" s="4" t="s">
        <v>52</v>
      </c>
    </row>
    <row r="61" customFormat="false" ht="15" hidden="false" customHeight="false" outlineLevel="0" collapsed="false">
      <c r="B61" s="4" t="s">
        <v>53</v>
      </c>
    </row>
    <row r="62" customFormat="false" ht="15" hidden="false" customHeight="false" outlineLevel="0" collapsed="false">
      <c r="B62" s="4" t="s">
        <v>54</v>
      </c>
    </row>
    <row r="63" customFormat="false" ht="15" hidden="false" customHeight="false" outlineLevel="0" collapsed="false">
      <c r="B63" s="4" t="s">
        <v>55</v>
      </c>
    </row>
    <row r="64" customFormat="false" ht="15" hidden="false" customHeight="false" outlineLevel="0" collapsed="false">
      <c r="B64" s="4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/>
    </row>
    <row r="71" customFormat="false" ht="15" hidden="false" customHeight="false" outlineLevel="0" collapsed="false">
      <c r="B71" s="3" t="s">
        <v>62</v>
      </c>
    </row>
    <row r="72" customFormat="false" ht="15" hidden="false" customHeight="false" outlineLevel="0" collapsed="false">
      <c r="B72" s="4" t="s">
        <v>63</v>
      </c>
    </row>
    <row r="73" customFormat="false" ht="15" hidden="false" customHeight="false" outlineLevel="0" collapsed="false">
      <c r="B73" s="4" t="s">
        <v>64</v>
      </c>
    </row>
    <row r="74" customFormat="false" ht="15" hidden="false" customHeight="false" outlineLevel="0" collapsed="false">
      <c r="B74" s="4" t="s">
        <v>65</v>
      </c>
    </row>
    <row r="75" customFormat="false" ht="15" hidden="false" customHeight="false" outlineLevel="0" collapsed="false">
      <c r="B75" s="4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15" hidden="false" customHeight="false" outlineLevel="0" collapsed="false">
      <c r="B4" s="7" t="s">
        <v>69</v>
      </c>
      <c r="C4" s="8"/>
      <c r="D4" s="8"/>
      <c r="E4" s="8"/>
    </row>
    <row r="5" customFormat="false" ht="15" hidden="false" customHeight="false" outlineLevel="0" collapsed="false">
      <c r="B5" s="4" t="s">
        <v>70</v>
      </c>
      <c r="C5" s="9" t="s">
        <v>71</v>
      </c>
      <c r="D5" s="2"/>
      <c r="E5" s="2" t="s">
        <v>72</v>
      </c>
    </row>
    <row r="6" customFormat="false" ht="15" hidden="false" customHeight="false" outlineLevel="0" collapsed="false">
      <c r="B6" s="4" t="s">
        <v>73</v>
      </c>
      <c r="C6" s="9" t="s">
        <v>74</v>
      </c>
      <c r="D6" s="2"/>
      <c r="E6" s="10" t="s">
        <v>75</v>
      </c>
    </row>
    <row r="7" customFormat="false" ht="15" hidden="false" customHeight="false" outlineLevel="0" collapsed="false">
      <c r="B7" s="4" t="s">
        <v>76</v>
      </c>
      <c r="C7" s="9" t="s">
        <v>77</v>
      </c>
      <c r="D7" s="2"/>
      <c r="E7" s="2" t="s">
        <v>78</v>
      </c>
    </row>
    <row r="8" customFormat="false" ht="15" hidden="false" customHeight="false" outlineLevel="0" collapsed="false">
      <c r="B8" s="4" t="s">
        <v>79</v>
      </c>
      <c r="C8" s="9" t="s">
        <v>80</v>
      </c>
      <c r="D8" s="2"/>
      <c r="E8" s="2" t="s">
        <v>81</v>
      </c>
    </row>
    <row r="9" customFormat="false" ht="15" hidden="false" customHeight="false" outlineLevel="0" collapsed="false">
      <c r="B9" s="4" t="s">
        <v>82</v>
      </c>
      <c r="C9" s="11" t="n">
        <v>20</v>
      </c>
      <c r="D9" s="2" t="s">
        <v>83</v>
      </c>
      <c r="E9" s="2" t="s">
        <v>84</v>
      </c>
    </row>
    <row r="10" customFormat="false" ht="15" hidden="false" customHeight="false" outlineLevel="0" collapsed="false">
      <c r="B10" s="4" t="s">
        <v>85</v>
      </c>
      <c r="C10" s="9" t="s">
        <v>86</v>
      </c>
      <c r="D10" s="2"/>
      <c r="E10" s="10" t="s">
        <v>87</v>
      </c>
    </row>
    <row r="11" customFormat="false" ht="15" hidden="false" customHeight="false" outlineLevel="0" collapsed="false">
      <c r="B11" s="4" t="s">
        <v>88</v>
      </c>
      <c r="C11" s="9" t="s">
        <v>89</v>
      </c>
      <c r="D11" s="2"/>
      <c r="E11" s="2" t="s">
        <v>90</v>
      </c>
    </row>
    <row r="13" customFormat="false" ht="15" hidden="false" customHeight="false" outlineLevel="0" collapsed="false">
      <c r="B13" s="7" t="s">
        <v>91</v>
      </c>
      <c r="C13" s="8"/>
      <c r="D13" s="8"/>
      <c r="E13" s="8"/>
    </row>
    <row r="14" customFormat="false" ht="15" hidden="false" customHeight="false" outlineLevel="0" collapsed="false">
      <c r="B14" s="4" t="s">
        <v>92</v>
      </c>
      <c r="C14" s="9" t="s">
        <v>93</v>
      </c>
      <c r="D14" s="2"/>
      <c r="E14" s="2" t="s">
        <v>94</v>
      </c>
    </row>
    <row r="15" customFormat="false" ht="15" hidden="false" customHeight="false" outlineLevel="0" collapsed="false">
      <c r="B15" s="4" t="s">
        <v>95</v>
      </c>
      <c r="C15" s="11" t="n">
        <v>1</v>
      </c>
      <c r="D15" s="2" t="s">
        <v>96</v>
      </c>
      <c r="E15" s="2" t="s">
        <v>97</v>
      </c>
    </row>
    <row r="16" customFormat="false" ht="15" hidden="false" customHeight="false" outlineLevel="0" collapsed="false">
      <c r="B16" s="4" t="s">
        <v>98</v>
      </c>
      <c r="C16" s="11" t="n">
        <v>2</v>
      </c>
      <c r="D16" s="2" t="s">
        <v>96</v>
      </c>
      <c r="E16" s="10" t="s">
        <v>99</v>
      </c>
    </row>
    <row r="17" customFormat="false" ht="15" hidden="false" customHeight="false" outlineLevel="0" collapsed="false">
      <c r="B17" s="4" t="s">
        <v>100</v>
      </c>
      <c r="C17" s="12" t="n">
        <f aca="false">IF(C16=1,30,IF(C16=2,50,100))</f>
        <v>50</v>
      </c>
      <c r="D17" s="2" t="s">
        <v>101</v>
      </c>
      <c r="E17" s="2" t="s">
        <v>102</v>
      </c>
    </row>
    <row r="18" customFormat="false" ht="15" hidden="false" customHeight="false" outlineLevel="0" collapsed="false">
      <c r="B18" s="4" t="s">
        <v>103</v>
      </c>
      <c r="C18" s="13" t="n">
        <v>1.02147</v>
      </c>
      <c r="D18" s="2" t="s">
        <v>104</v>
      </c>
      <c r="E18" s="2" t="s">
        <v>105</v>
      </c>
    </row>
    <row r="19" customFormat="false" ht="15" hidden="false" customHeight="false" outlineLevel="0" collapsed="false">
      <c r="B19" s="4" t="s">
        <v>106</v>
      </c>
      <c r="C19" s="13" t="n">
        <v>0.59643</v>
      </c>
      <c r="D19" s="2" t="s">
        <v>104</v>
      </c>
      <c r="E19" s="2" t="s">
        <v>107</v>
      </c>
    </row>
    <row r="20" customFormat="false" ht="15" hidden="false" customHeight="false" outlineLevel="0" collapsed="false">
      <c r="B20" s="4" t="s">
        <v>108</v>
      </c>
      <c r="C20" s="13" t="n">
        <v>0.40085</v>
      </c>
      <c r="D20" s="2" t="s">
        <v>104</v>
      </c>
      <c r="E20" s="2" t="s">
        <v>109</v>
      </c>
    </row>
    <row r="21" customFormat="false" ht="15" hidden="false" customHeight="false" outlineLevel="0" collapsed="false">
      <c r="B21" s="4" t="s">
        <v>110</v>
      </c>
      <c r="C21" s="13" t="n">
        <v>0.02419</v>
      </c>
      <c r="D21" s="2" t="s">
        <v>104</v>
      </c>
      <c r="E21" s="2" t="s">
        <v>111</v>
      </c>
    </row>
    <row r="22" customFormat="false" ht="15" hidden="false" customHeight="false" outlineLevel="0" collapsed="false">
      <c r="B22" s="4" t="s">
        <v>112</v>
      </c>
      <c r="C22" s="14" t="n">
        <v>0.6</v>
      </c>
      <c r="D22" s="2"/>
      <c r="E22" s="10" t="s">
        <v>113</v>
      </c>
    </row>
    <row r="23" customFormat="false" ht="15" hidden="false" customHeight="false" outlineLevel="0" collapsed="false">
      <c r="B23" s="4" t="s">
        <v>114</v>
      </c>
      <c r="C23" s="15" t="n">
        <f aca="false">C19*C22</f>
        <v>0.357858</v>
      </c>
      <c r="D23" s="2" t="s">
        <v>104</v>
      </c>
      <c r="E23" s="2" t="s">
        <v>115</v>
      </c>
    </row>
    <row r="24" customFormat="false" ht="15" hidden="false" customHeight="false" outlineLevel="0" collapsed="false">
      <c r="B24" s="4" t="s">
        <v>116</v>
      </c>
      <c r="C24" s="14" t="n">
        <v>0.6</v>
      </c>
      <c r="D24" s="2"/>
      <c r="E24" s="2" t="s">
        <v>117</v>
      </c>
    </row>
    <row r="25" customFormat="false" ht="15" hidden="false" customHeight="false" outlineLevel="0" collapsed="false">
      <c r="B25" s="4" t="s">
        <v>118</v>
      </c>
      <c r="C25" s="15" t="n">
        <f aca="false">C23*C24</f>
        <v>0.2147148</v>
      </c>
      <c r="D25" s="2" t="s">
        <v>104</v>
      </c>
      <c r="E25" s="2" t="s">
        <v>119</v>
      </c>
    </row>
    <row r="26" customFormat="false" ht="15" hidden="false" customHeight="false" outlineLevel="0" collapsed="false">
      <c r="B26" s="4" t="s">
        <v>120</v>
      </c>
      <c r="C26" s="13" t="n">
        <v>21.11</v>
      </c>
      <c r="D26" s="2" t="s">
        <v>121</v>
      </c>
      <c r="E26" s="2" t="s">
        <v>122</v>
      </c>
    </row>
    <row r="27" customFormat="false" ht="15" hidden="false" customHeight="false" outlineLevel="0" collapsed="false">
      <c r="B27" s="4" t="s">
        <v>123</v>
      </c>
      <c r="C27" s="14" t="n">
        <v>0.07</v>
      </c>
      <c r="D27" s="2" t="s">
        <v>124</v>
      </c>
      <c r="E27" s="2" t="s">
        <v>125</v>
      </c>
    </row>
    <row r="28" customFormat="false" ht="15" hidden="false" customHeight="false" outlineLevel="0" collapsed="false">
      <c r="B28" s="4" t="s">
        <v>126</v>
      </c>
      <c r="C28" s="13" t="n">
        <v>2500</v>
      </c>
      <c r="D28" s="2" t="s">
        <v>127</v>
      </c>
      <c r="E28" s="10" t="s">
        <v>128</v>
      </c>
    </row>
    <row r="30" customFormat="false" ht="15" hidden="false" customHeight="false" outlineLevel="0" collapsed="false">
      <c r="B30" s="7" t="s">
        <v>129</v>
      </c>
      <c r="C30" s="8"/>
      <c r="D30" s="8"/>
      <c r="E30" s="8"/>
    </row>
    <row r="31" customFormat="false" ht="15" hidden="false" customHeight="false" outlineLevel="0" collapsed="false">
      <c r="B31" s="4" t="s">
        <v>130</v>
      </c>
      <c r="C31" s="14" t="n">
        <v>0.79</v>
      </c>
      <c r="D31" s="2"/>
      <c r="E31" s="2" t="s">
        <v>131</v>
      </c>
    </row>
    <row r="32" customFormat="false" ht="15" hidden="false" customHeight="false" outlineLevel="0" collapsed="false">
      <c r="B32" s="4" t="s">
        <v>132</v>
      </c>
      <c r="C32" s="14" t="n">
        <v>0.72</v>
      </c>
      <c r="D32" s="2"/>
      <c r="E32" s="2" t="s">
        <v>133</v>
      </c>
    </row>
    <row r="33" customFormat="false" ht="15" hidden="false" customHeight="false" outlineLevel="0" collapsed="false">
      <c r="B33" s="4" t="s">
        <v>134</v>
      </c>
      <c r="C33" s="14" t="n">
        <v>0.02</v>
      </c>
      <c r="D33" s="2"/>
      <c r="E33" s="2" t="s">
        <v>135</v>
      </c>
    </row>
    <row r="34" customFormat="false" ht="15" hidden="false" customHeight="false" outlineLevel="0" collapsed="false">
      <c r="B34" s="4" t="s">
        <v>136</v>
      </c>
      <c r="C34" s="14" t="n">
        <v>0.0045</v>
      </c>
      <c r="D34" s="2" t="s">
        <v>124</v>
      </c>
      <c r="E34" s="2" t="s">
        <v>137</v>
      </c>
    </row>
    <row r="35" customFormat="false" ht="15" hidden="false" customHeight="false" outlineLevel="0" collapsed="false">
      <c r="B35" s="4" t="s">
        <v>138</v>
      </c>
      <c r="C35" s="13" t="n">
        <v>300</v>
      </c>
      <c r="D35" s="2" t="s">
        <v>139</v>
      </c>
      <c r="E35" s="2" t="s">
        <v>140</v>
      </c>
    </row>
    <row r="36" customFormat="false" ht="15" hidden="false" customHeight="false" outlineLevel="0" collapsed="false">
      <c r="B36" s="4" t="s">
        <v>141</v>
      </c>
      <c r="C36" s="13" t="n">
        <v>150</v>
      </c>
      <c r="D36" s="2" t="s">
        <v>139</v>
      </c>
      <c r="E36" s="2" t="s">
        <v>142</v>
      </c>
    </row>
    <row r="37" customFormat="false" ht="15" hidden="false" customHeight="false" outlineLevel="0" collapsed="false">
      <c r="B37" s="4" t="s">
        <v>143</v>
      </c>
      <c r="C37" s="14" t="n">
        <v>0.3</v>
      </c>
      <c r="D37" s="2"/>
      <c r="E37" s="2" t="s">
        <v>144</v>
      </c>
    </row>
    <row r="39" customFormat="false" ht="15" hidden="false" customHeight="false" outlineLevel="0" collapsed="false">
      <c r="B39" s="7" t="s">
        <v>145</v>
      </c>
      <c r="C39" s="8"/>
      <c r="D39" s="8"/>
      <c r="E39" s="8"/>
    </row>
    <row r="40" customFormat="false" ht="15" hidden="false" customHeight="false" outlineLevel="0" collapsed="false">
      <c r="B40" s="4" t="s">
        <v>146</v>
      </c>
      <c r="C40" s="9" t="s">
        <v>147</v>
      </c>
      <c r="D40" s="2"/>
      <c r="E40" s="10" t="s">
        <v>148</v>
      </c>
    </row>
    <row r="41" customFormat="false" ht="15" hidden="false" customHeight="false" outlineLevel="0" collapsed="false">
      <c r="B41" s="4" t="s">
        <v>149</v>
      </c>
      <c r="C41" s="16" t="n">
        <v>18.3</v>
      </c>
      <c r="D41" s="2" t="s">
        <v>150</v>
      </c>
      <c r="E41" s="10" t="s">
        <v>151</v>
      </c>
    </row>
    <row r="42" customFormat="false" ht="15" hidden="false" customHeight="false" outlineLevel="0" collapsed="false">
      <c r="B42" s="4" t="s">
        <v>152</v>
      </c>
      <c r="C42" s="16" t="n">
        <v>17</v>
      </c>
      <c r="D42" s="2" t="s">
        <v>153</v>
      </c>
      <c r="E42" s="10" t="s">
        <v>154</v>
      </c>
    </row>
    <row r="43" customFormat="false" ht="15" hidden="false" customHeight="false" outlineLevel="0" collapsed="false">
      <c r="B43" s="4" t="s">
        <v>155</v>
      </c>
      <c r="C43" s="11" t="n">
        <v>40</v>
      </c>
      <c r="D43" s="2" t="s">
        <v>156</v>
      </c>
      <c r="E43" s="10" t="s">
        <v>157</v>
      </c>
    </row>
    <row r="44" customFormat="false" ht="15" hidden="false" customHeight="false" outlineLevel="0" collapsed="false">
      <c r="B44" s="4" t="s">
        <v>158</v>
      </c>
      <c r="C44" s="11" t="n">
        <v>26</v>
      </c>
      <c r="D44" s="2" t="s">
        <v>159</v>
      </c>
      <c r="E44" s="10" t="s">
        <v>160</v>
      </c>
    </row>
    <row r="45" customFormat="false" ht="15" hidden="false" customHeight="false" outlineLevel="0" collapsed="false">
      <c r="B45" s="4" t="s">
        <v>161</v>
      </c>
      <c r="C45" s="14" t="n">
        <v>0.86</v>
      </c>
      <c r="D45" s="2"/>
      <c r="E45" s="2" t="s">
        <v>162</v>
      </c>
    </row>
    <row r="46" customFormat="false" ht="15" hidden="false" customHeight="false" outlineLevel="0" collapsed="false">
      <c r="B46" s="4" t="s">
        <v>163</v>
      </c>
      <c r="C46" s="16" t="n">
        <v>3.3</v>
      </c>
      <c r="D46" s="2" t="s">
        <v>164</v>
      </c>
      <c r="E46" s="10" t="s">
        <v>165</v>
      </c>
    </row>
    <row r="47" customFormat="false" ht="15" hidden="false" customHeight="false" outlineLevel="0" collapsed="false">
      <c r="B47" s="4" t="s">
        <v>166</v>
      </c>
      <c r="C47" s="9" t="s">
        <v>147</v>
      </c>
      <c r="D47" s="2"/>
      <c r="E47" s="2" t="s">
        <v>167</v>
      </c>
    </row>
    <row r="48" customFormat="false" ht="15" hidden="false" customHeight="false" outlineLevel="0" collapsed="false">
      <c r="B48" s="4" t="s">
        <v>168</v>
      </c>
      <c r="C48" s="14" t="n">
        <v>0.15</v>
      </c>
      <c r="D48" s="2"/>
      <c r="E48" s="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B4" s="7" t="s">
        <v>172</v>
      </c>
      <c r="C4" s="8"/>
      <c r="D4" s="8"/>
      <c r="E4" s="8"/>
      <c r="G4" s="7" t="s">
        <v>173</v>
      </c>
      <c r="H4" s="8"/>
      <c r="I4" s="8"/>
    </row>
    <row r="5" customFormat="false" ht="15" hidden="false" customHeight="false" outlineLevel="0" collapsed="false">
      <c r="B5" s="17" t="s">
        <v>174</v>
      </c>
      <c r="C5" s="17" t="s">
        <v>175</v>
      </c>
      <c r="D5" s="17" t="s">
        <v>176</v>
      </c>
      <c r="E5" s="17" t="s">
        <v>177</v>
      </c>
      <c r="G5" s="4" t="s">
        <v>178</v>
      </c>
      <c r="H5" s="13" t="n">
        <v>322.07</v>
      </c>
      <c r="I5" s="2" t="s">
        <v>179</v>
      </c>
    </row>
    <row r="6" customFormat="false" ht="15" hidden="false" customHeight="false" outlineLevel="0" collapsed="false">
      <c r="B6" s="18" t="s">
        <v>180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181</v>
      </c>
      <c r="H6" s="13" t="n">
        <v>216.46</v>
      </c>
      <c r="I6" s="2" t="s">
        <v>182</v>
      </c>
    </row>
    <row r="7" customFormat="false" ht="15" hidden="false" customHeight="false" outlineLevel="0" collapsed="false">
      <c r="B7" s="18" t="s">
        <v>183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184</v>
      </c>
      <c r="H7" s="13" t="n">
        <v>13.06</v>
      </c>
      <c r="I7" s="2" t="s">
        <v>185</v>
      </c>
    </row>
    <row r="8" customFormat="false" ht="15" hidden="false" customHeight="false" outlineLevel="0" collapsed="false">
      <c r="B8" s="18" t="s">
        <v>186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187</v>
      </c>
      <c r="H8" s="22" t="n">
        <v>551.59</v>
      </c>
      <c r="I8" s="2" t="s">
        <v>188</v>
      </c>
    </row>
    <row r="9" customFormat="false" ht="15" hidden="false" customHeight="false" outlineLevel="0" collapsed="false">
      <c r="B9" s="18" t="s">
        <v>189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190</v>
      </c>
      <c r="H9" s="13" t="n">
        <v>21.11</v>
      </c>
      <c r="I9" s="2" t="s">
        <v>191</v>
      </c>
    </row>
    <row r="10" customFormat="false" ht="15" hidden="false" customHeight="false" outlineLevel="0" collapsed="false">
      <c r="B10" s="18" t="s">
        <v>192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193</v>
      </c>
      <c r="H10" s="22" t="n">
        <v>572.7</v>
      </c>
      <c r="I10" s="2" t="s">
        <v>194</v>
      </c>
    </row>
    <row r="11" customFormat="false" ht="15" hidden="false" customHeight="false" outlineLevel="0" collapsed="false">
      <c r="B11" s="18" t="s">
        <v>195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196</v>
      </c>
      <c r="H11" s="23" t="n">
        <f aca="false">IFERROR(H8/540,0)</f>
        <v>1.02146296296296</v>
      </c>
      <c r="I11" s="2" t="s">
        <v>197</v>
      </c>
    </row>
    <row r="12" customFormat="false" ht="15" hidden="false" customHeight="false" outlineLevel="0" collapsed="false">
      <c r="B12" s="18" t="s">
        <v>198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199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200</v>
      </c>
    </row>
    <row r="14" customFormat="false" ht="15" hidden="false" customHeight="false" outlineLevel="0" collapsed="false">
      <c r="B14" s="18" t="s">
        <v>201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202</v>
      </c>
      <c r="H14" s="13" t="n">
        <v>4.14</v>
      </c>
      <c r="I14" s="2" t="s">
        <v>203</v>
      </c>
    </row>
    <row r="15" customFormat="false" ht="15" hidden="false" customHeight="false" outlineLevel="0" collapsed="false">
      <c r="B15" s="18" t="s">
        <v>204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205</v>
      </c>
      <c r="H15" s="13" t="n">
        <v>19.12</v>
      </c>
      <c r="I15" s="2" t="s">
        <v>203</v>
      </c>
    </row>
    <row r="16" customFormat="false" ht="15" hidden="false" customHeight="false" outlineLevel="0" collapsed="false">
      <c r="B16" s="18" t="s">
        <v>206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207</v>
      </c>
      <c r="H16" s="13" t="n">
        <v>99.28</v>
      </c>
      <c r="I16" s="2" t="s">
        <v>208</v>
      </c>
    </row>
    <row r="17" customFormat="false" ht="15" hidden="false" customHeight="false" outlineLevel="0" collapsed="false">
      <c r="B17" s="18" t="s">
        <v>209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210</v>
      </c>
      <c r="H17" s="22" t="n">
        <v>122.54</v>
      </c>
      <c r="I17" s="2" t="s">
        <v>211</v>
      </c>
    </row>
    <row r="18" customFormat="false" ht="15" hidden="false" customHeight="false" outlineLevel="0" collapsed="false">
      <c r="B18" s="18" t="s">
        <v>212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213</v>
      </c>
      <c r="G19" s="3" t="s">
        <v>214</v>
      </c>
    </row>
    <row r="20" customFormat="false" ht="15" hidden="false" customHeight="false" outlineLevel="0" collapsed="false">
      <c r="G20" s="4" t="s">
        <v>76</v>
      </c>
      <c r="H20" s="25" t="s">
        <v>215</v>
      </c>
    </row>
    <row r="21" customFormat="false" ht="15" hidden="false" customHeight="false" outlineLevel="0" collapsed="false">
      <c r="B21" s="7" t="s">
        <v>216</v>
      </c>
      <c r="C21" s="8"/>
      <c r="D21" s="8"/>
      <c r="E21" s="8"/>
      <c r="G21" s="4" t="s">
        <v>217</v>
      </c>
      <c r="H21" s="25" t="s">
        <v>218</v>
      </c>
    </row>
    <row r="22" customFormat="false" ht="15" hidden="false" customHeight="false" outlineLevel="0" collapsed="false">
      <c r="B22" s="21" t="s">
        <v>219</v>
      </c>
      <c r="C22" s="26" t="n">
        <f aca="false">SUM(C7:C18)</f>
        <v>4576</v>
      </c>
      <c r="D22" s="2" t="s">
        <v>220</v>
      </c>
      <c r="G22" s="4" t="s">
        <v>221</v>
      </c>
      <c r="H22" s="25" t="s">
        <v>222</v>
      </c>
    </row>
    <row r="23" customFormat="false" ht="15" hidden="false" customHeight="false" outlineLevel="0" collapsed="false">
      <c r="B23" s="4" t="s">
        <v>223</v>
      </c>
      <c r="C23" s="27" t="n">
        <f aca="false">C22/12</f>
        <v>381.333333333333</v>
      </c>
      <c r="D23" s="2" t="s">
        <v>101</v>
      </c>
      <c r="G23" s="4" t="s">
        <v>92</v>
      </c>
      <c r="H23" s="25" t="s">
        <v>224</v>
      </c>
    </row>
    <row r="24" customFormat="false" ht="15" hidden="false" customHeight="false" outlineLevel="0" collapsed="false">
      <c r="B24" s="4" t="s">
        <v>225</v>
      </c>
      <c r="C24" s="12" t="n">
        <f aca="false">SUM(D7:D18)</f>
        <v>366</v>
      </c>
      <c r="D24" s="2" t="s">
        <v>226</v>
      </c>
      <c r="G24" s="4" t="s">
        <v>227</v>
      </c>
      <c r="H24" s="28" t="s">
        <v>228</v>
      </c>
    </row>
    <row r="25" customFormat="false" ht="15" hidden="false" customHeight="false" outlineLevel="0" collapsed="false">
      <c r="B25" s="4" t="s">
        <v>229</v>
      </c>
      <c r="C25" s="29" t="n">
        <f aca="false">IFERROR(C22/C24,0)</f>
        <v>12.5027322404372</v>
      </c>
      <c r="D25" s="2" t="s">
        <v>230</v>
      </c>
      <c r="G25" s="4" t="s">
        <v>231</v>
      </c>
      <c r="H25" s="28" t="s">
        <v>232</v>
      </c>
    </row>
    <row r="26" customFormat="false" ht="15" hidden="false" customHeight="false" outlineLevel="0" collapsed="false">
      <c r="B26" s="4" t="s">
        <v>233</v>
      </c>
      <c r="C26" s="12" t="n">
        <f aca="false">MAX(C7:C18)</f>
        <v>540</v>
      </c>
      <c r="D26" s="2" t="s">
        <v>150</v>
      </c>
      <c r="G26" s="4" t="s">
        <v>234</v>
      </c>
      <c r="H26" s="25" t="s">
        <v>235</v>
      </c>
    </row>
    <row r="27" customFormat="false" ht="15" hidden="false" customHeight="false" outlineLevel="0" collapsed="false">
      <c r="B27" s="4" t="s">
        <v>236</v>
      </c>
      <c r="C27" s="12" t="n">
        <f aca="false">MIN(C7:C18)</f>
        <v>290</v>
      </c>
      <c r="D27" s="2" t="s">
        <v>150</v>
      </c>
      <c r="G27" s="4" t="s">
        <v>237</v>
      </c>
      <c r="H27" s="25" t="s">
        <v>238</v>
      </c>
    </row>
    <row r="28" customFormat="false" ht="15" hidden="false" customHeight="false" outlineLevel="0" collapsed="false">
      <c r="B28" s="4" t="s">
        <v>239</v>
      </c>
      <c r="C28" s="30" t="n">
        <f aca="false">IFERROR(C26/C27-1,0)</f>
        <v>0.862068965517241</v>
      </c>
      <c r="D28" s="2"/>
      <c r="G28" s="4" t="s">
        <v>240</v>
      </c>
      <c r="H28" s="25" t="s">
        <v>241</v>
      </c>
    </row>
    <row r="29" customFormat="false" ht="15" hidden="false" customHeight="false" outlineLevel="0" collapsed="false">
      <c r="B29" s="4" t="s">
        <v>242</v>
      </c>
      <c r="C29" s="12" t="n">
        <f aca="false">C18</f>
        <v>540</v>
      </c>
      <c r="D29" s="2" t="s">
        <v>150</v>
      </c>
      <c r="G29" s="4" t="s">
        <v>243</v>
      </c>
      <c r="H29" s="25" t="s">
        <v>244</v>
      </c>
    </row>
    <row r="30" customFormat="false" ht="15" hidden="false" customHeight="false" outlineLevel="0" collapsed="false">
      <c r="B30" s="4" t="s">
        <v>245</v>
      </c>
      <c r="C30" s="30" t="n">
        <f aca="false">IFERROR(C29/C23-1,0)</f>
        <v>0.416083916083916</v>
      </c>
      <c r="D30" s="2"/>
      <c r="G30" s="4" t="s">
        <v>246</v>
      </c>
      <c r="H30" s="25" t="s">
        <v>247</v>
      </c>
    </row>
    <row r="31" customFormat="false" ht="15" hidden="false" customHeight="false" outlineLevel="0" collapsed="false">
      <c r="B31" s="4" t="s">
        <v>248</v>
      </c>
      <c r="C31" s="29" t="n">
        <f aca="false">AVERAGE(C7:C12)</f>
        <v>343.5</v>
      </c>
      <c r="D31" s="2" t="s">
        <v>101</v>
      </c>
      <c r="G31" s="4" t="s">
        <v>249</v>
      </c>
      <c r="H31" s="25" t="s">
        <v>250</v>
      </c>
    </row>
    <row r="32" customFormat="false" ht="15" hidden="false" customHeight="false" outlineLevel="0" collapsed="false">
      <c r="B32" s="4" t="s">
        <v>251</v>
      </c>
      <c r="C32" s="29" t="n">
        <f aca="false">AVERAGE(C13:C18)</f>
        <v>419.166666666667</v>
      </c>
      <c r="D32" s="2" t="s">
        <v>101</v>
      </c>
      <c r="G32" s="4" t="s">
        <v>252</v>
      </c>
      <c r="H32" s="25" t="s">
        <v>253</v>
      </c>
    </row>
    <row r="33" customFormat="false" ht="15" hidden="false" customHeight="false" outlineLevel="0" collapsed="false">
      <c r="B33" s="4" t="s">
        <v>254</v>
      </c>
      <c r="C33" s="31" t="n">
        <f aca="false">IFERROR(C32/C31-1,0)</f>
        <v>0.220281416787967</v>
      </c>
      <c r="D33" s="2" t="s">
        <v>255</v>
      </c>
      <c r="G33" s="4" t="s">
        <v>256</v>
      </c>
      <c r="H33" s="25" t="s">
        <v>257</v>
      </c>
    </row>
    <row r="34" customFormat="false" ht="15" hidden="false" customHeight="false" outlineLevel="0" collapsed="false">
      <c r="B34" s="4" t="s">
        <v>258</v>
      </c>
      <c r="C34" s="31" t="n">
        <f aca="false">IFERROR(C18/C6-1,0)</f>
        <v>0.388174807197943</v>
      </c>
      <c r="D34" s="2" t="s">
        <v>259</v>
      </c>
    </row>
    <row r="36" customFormat="false" ht="15" hidden="false" customHeight="false" outlineLevel="0" collapsed="false">
      <c r="B36" s="7" t="s">
        <v>260</v>
      </c>
      <c r="C36" s="8"/>
      <c r="D36" s="8"/>
      <c r="E36" s="8"/>
    </row>
    <row r="37" customFormat="false" ht="15" hidden="false" customHeight="false" outlineLevel="0" collapsed="false">
      <c r="B37" s="17" t="s">
        <v>261</v>
      </c>
      <c r="C37" s="17" t="s">
        <v>175</v>
      </c>
      <c r="D37" s="17" t="s">
        <v>262</v>
      </c>
    </row>
    <row r="38" customFormat="false" ht="15" hidden="false" customHeight="false" outlineLevel="0" collapsed="false">
      <c r="B38" s="18" t="s">
        <v>263</v>
      </c>
      <c r="C38" s="32" t="n">
        <f aca="false">C12</f>
        <v>372</v>
      </c>
      <c r="D38" s="33" t="s">
        <v>198</v>
      </c>
    </row>
    <row r="39" customFormat="false" ht="15" hidden="false" customHeight="false" outlineLevel="0" collapsed="false">
      <c r="B39" s="18" t="s">
        <v>264</v>
      </c>
      <c r="C39" s="32" t="n">
        <f aca="false">C13</f>
        <v>348</v>
      </c>
      <c r="D39" s="33" t="s">
        <v>199</v>
      </c>
    </row>
    <row r="40" customFormat="false" ht="15" hidden="false" customHeight="false" outlineLevel="0" collapsed="false">
      <c r="B40" s="18" t="s">
        <v>265</v>
      </c>
      <c r="C40" s="32" t="n">
        <f aca="false">C14</f>
        <v>354</v>
      </c>
      <c r="D40" s="33" t="s">
        <v>201</v>
      </c>
    </row>
    <row r="41" customFormat="false" ht="15" hidden="false" customHeight="false" outlineLevel="0" collapsed="false">
      <c r="B41" s="18" t="s">
        <v>266</v>
      </c>
      <c r="C41" s="32" t="n">
        <f aca="false">C15</f>
        <v>394</v>
      </c>
      <c r="D41" s="33" t="s">
        <v>204</v>
      </c>
    </row>
    <row r="42" customFormat="false" ht="15" hidden="false" customHeight="false" outlineLevel="0" collapsed="false">
      <c r="B42" s="18" t="s">
        <v>267</v>
      </c>
      <c r="C42" s="32" t="n">
        <f aca="false">C16</f>
        <v>457</v>
      </c>
      <c r="D42" s="33" t="s">
        <v>206</v>
      </c>
    </row>
    <row r="43" customFormat="false" ht="15" hidden="false" customHeight="false" outlineLevel="0" collapsed="false">
      <c r="B43" s="18" t="s">
        <v>268</v>
      </c>
      <c r="C43" s="32" t="n">
        <f aca="false">C17</f>
        <v>422</v>
      </c>
      <c r="D43" s="33" t="s">
        <v>209</v>
      </c>
    </row>
    <row r="44" customFormat="false" ht="15" hidden="false" customHeight="false" outlineLevel="0" collapsed="false">
      <c r="B44" s="18" t="s">
        <v>269</v>
      </c>
      <c r="C44" s="32" t="n">
        <f aca="false">C18</f>
        <v>540</v>
      </c>
      <c r="D44" s="33" t="s">
        <v>212</v>
      </c>
    </row>
    <row r="45" customFormat="false" ht="15" hidden="false" customHeight="false" outlineLevel="0" collapsed="false">
      <c r="B45" s="18" t="s">
        <v>270</v>
      </c>
      <c r="C45" s="32" t="n">
        <f aca="false">C7</f>
        <v>364</v>
      </c>
      <c r="D45" s="33" t="s">
        <v>183</v>
      </c>
    </row>
    <row r="46" customFormat="false" ht="15" hidden="false" customHeight="false" outlineLevel="0" collapsed="false">
      <c r="B46" s="18" t="s">
        <v>271</v>
      </c>
      <c r="C46" s="32" t="n">
        <f aca="false">C8</f>
        <v>290</v>
      </c>
      <c r="D46" s="33" t="s">
        <v>186</v>
      </c>
    </row>
    <row r="47" customFormat="false" ht="15" hidden="false" customHeight="false" outlineLevel="0" collapsed="false">
      <c r="B47" s="18" t="s">
        <v>272</v>
      </c>
      <c r="C47" s="32" t="n">
        <f aca="false">C9</f>
        <v>375</v>
      </c>
      <c r="D47" s="33" t="s">
        <v>189</v>
      </c>
    </row>
    <row r="48" customFormat="false" ht="15" hidden="false" customHeight="false" outlineLevel="0" collapsed="false">
      <c r="B48" s="18" t="s">
        <v>273</v>
      </c>
      <c r="C48" s="32" t="n">
        <f aca="false">C10</f>
        <v>337</v>
      </c>
      <c r="D48" s="33" t="s">
        <v>192</v>
      </c>
    </row>
    <row r="49" customFormat="false" ht="15" hidden="false" customHeight="false" outlineLevel="0" collapsed="false">
      <c r="B49" s="18" t="s">
        <v>274</v>
      </c>
      <c r="C49" s="32" t="n">
        <f aca="false">C11</f>
        <v>323</v>
      </c>
      <c r="D49" s="33" t="s">
        <v>195</v>
      </c>
    </row>
    <row r="50" customFormat="false" ht="15" hidden="false" customHeight="false" outlineLevel="0" collapsed="false">
      <c r="B50" s="21" t="s">
        <v>275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276</v>
      </c>
      <c r="C52" s="8"/>
      <c r="D52" s="8"/>
      <c r="E52" s="8"/>
    </row>
    <row r="53" customFormat="false" ht="15" hidden="false" customHeight="false" outlineLevel="0" collapsed="false">
      <c r="B53" s="21" t="s">
        <v>277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278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279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280</v>
      </c>
    </row>
    <row r="58" customFormat="false" ht="15" hidden="false" customHeight="false" outlineLevel="0" collapsed="false">
      <c r="B58" s="4" t="s">
        <v>281</v>
      </c>
    </row>
    <row r="59" customFormat="false" ht="15" hidden="false" customHeight="false" outlineLevel="0" collapsed="false">
      <c r="B59" s="3" t="s">
        <v>282</v>
      </c>
    </row>
    <row r="60" customFormat="false" ht="15" hidden="false" customHeight="false" outlineLevel="0" collapsed="false">
      <c r="B60" s="4" t="s">
        <v>283</v>
      </c>
    </row>
    <row r="61" customFormat="false" ht="15" hidden="false" customHeight="false" outlineLevel="0" collapsed="false">
      <c r="B61" s="4" t="s">
        <v>284</v>
      </c>
    </row>
    <row r="62" customFormat="false" ht="15" hidden="false" customHeight="false" outlineLevel="0" collapsed="false">
      <c r="B62" s="4" t="s">
        <v>285</v>
      </c>
    </row>
    <row r="63" customFormat="false" ht="15" hidden="false" customHeight="false" outlineLevel="0" collapsed="false">
      <c r="B63" s="5" t="s">
        <v>286</v>
      </c>
    </row>
    <row r="64" customFormat="false" ht="15" hidden="false" customHeight="false" outlineLevel="0" collapsed="false">
      <c r="B64" s="4" t="s">
        <v>287</v>
      </c>
    </row>
    <row r="65" customFormat="false" ht="15" hidden="false" customHeight="false" outlineLevel="0" collapsed="false">
      <c r="B65" s="4" t="s">
        <v>288</v>
      </c>
    </row>
    <row r="66" customFormat="false" ht="15" hidden="false" customHeight="false" outlineLevel="0" collapsed="false">
      <c r="B66" s="5" t="s">
        <v>289</v>
      </c>
    </row>
    <row r="67" customFormat="false" ht="15" hidden="false" customHeight="false" outlineLevel="0" collapsed="false">
      <c r="B67" s="4" t="s">
        <v>290</v>
      </c>
    </row>
    <row r="68" customFormat="false" ht="15" hidden="false" customHeight="false" outlineLevel="0" collapsed="false">
      <c r="B68" s="4" t="s">
        <v>291</v>
      </c>
    </row>
    <row r="69" customFormat="false" ht="15" hidden="false" customHeight="false" outlineLevel="0" collapsed="false">
      <c r="B69" s="4" t="s">
        <v>292</v>
      </c>
    </row>
    <row r="70" customFormat="false" ht="15" hidden="false" customHeight="false" outlineLevel="0" collapsed="false">
      <c r="B70" s="4" t="s">
        <v>293</v>
      </c>
    </row>
    <row r="71" customFormat="false" ht="15" hidden="false" customHeight="false" outlineLevel="0" collapsed="false">
      <c r="B71" s="4" t="s">
        <v>294</v>
      </c>
    </row>
    <row r="72" customFormat="false" ht="15" hidden="false" customHeight="false" outlineLevel="0" collapsed="false">
      <c r="B72" s="4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42" hidden="false" customHeight="true" outlineLevel="0" collapsed="false">
      <c r="B4" s="17" t="s">
        <v>261</v>
      </c>
      <c r="C4" s="17" t="s">
        <v>176</v>
      </c>
      <c r="D4" s="17" t="s">
        <v>298</v>
      </c>
      <c r="E4" s="17" t="s">
        <v>299</v>
      </c>
      <c r="F4" s="17" t="s">
        <v>300</v>
      </c>
      <c r="G4" s="17" t="s">
        <v>301</v>
      </c>
      <c r="H4" s="17" t="s">
        <v>302</v>
      </c>
      <c r="I4" s="17" t="s">
        <v>303</v>
      </c>
      <c r="J4" s="17" t="s">
        <v>304</v>
      </c>
      <c r="K4" s="17" t="s">
        <v>305</v>
      </c>
    </row>
    <row r="5" customFormat="false" ht="15" hidden="false" customHeight="false" outlineLevel="0" collapsed="false">
      <c r="B5" s="18" t="s">
        <v>263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264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265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266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267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268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269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270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271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272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273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274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306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307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308</v>
      </c>
    </row>
    <row r="21" customFormat="false" ht="15" hidden="false" customHeight="false" outlineLevel="0" collapsed="false">
      <c r="B21" s="2" t="s">
        <v>309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310</v>
      </c>
    </row>
    <row r="24" customFormat="false" ht="15" hidden="false" customHeight="false" outlineLevel="0" collapsed="false">
      <c r="B24" s="2" t="s">
        <v>311</v>
      </c>
    </row>
    <row r="25" customFormat="false" ht="15" hidden="false" customHeight="false" outlineLevel="0" collapsed="false">
      <c r="B25" s="2" t="s">
        <v>312</v>
      </c>
    </row>
    <row r="26" customFormat="false" ht="15" hidden="false" customHeight="false" outlineLevel="0" collapsed="false">
      <c r="B26" s="2" t="s">
        <v>313</v>
      </c>
    </row>
    <row r="27" customFormat="false" ht="15" hidden="false" customHeight="false" outlineLevel="0" collapsed="false">
      <c r="B27" s="2" t="s">
        <v>314</v>
      </c>
    </row>
    <row r="28" customFormat="false" ht="15" hidden="false" customHeight="false" outlineLevel="0" collapsed="false">
      <c r="B28" s="2" t="s">
        <v>315</v>
      </c>
    </row>
    <row r="29" customFormat="false" ht="15" hidden="false" customHeight="false" outlineLevel="0" collapsed="false">
      <c r="B29" s="2" t="s">
        <v>316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317</v>
      </c>
    </row>
    <row r="32" customFormat="false" ht="15" hidden="false" customHeight="false" outlineLevel="0" collapsed="false">
      <c r="B32" s="2" t="s">
        <v>318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319</v>
      </c>
    </row>
    <row r="35" customFormat="false" ht="15" hidden="false" customHeight="false" outlineLevel="0" collapsed="false">
      <c r="B35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322</v>
      </c>
    </row>
    <row r="4" customFormat="false" ht="15" hidden="false" customHeight="false" outlineLevel="0" collapsed="false">
      <c r="B4" s="7" t="s">
        <v>323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324</v>
      </c>
      <c r="C5" s="43" t="n">
        <f aca="false">ENTRADAS!C43</f>
        <v>40</v>
      </c>
      <c r="D5" s="2" t="s">
        <v>156</v>
      </c>
      <c r="H5" s="2" t="s">
        <v>325</v>
      </c>
    </row>
    <row r="6" customFormat="false" ht="15" hidden="false" customHeight="false" outlineLevel="0" collapsed="false">
      <c r="B6" s="4" t="s">
        <v>152</v>
      </c>
      <c r="C6" s="44" t="n">
        <f aca="false">ENTRADAS!C42</f>
        <v>17</v>
      </c>
      <c r="D6" s="2" t="s">
        <v>153</v>
      </c>
      <c r="H6" s="2" t="s">
        <v>326</v>
      </c>
    </row>
    <row r="7" customFormat="false" ht="15" hidden="false" customHeight="false" outlineLevel="0" collapsed="false">
      <c r="B7" s="4" t="s">
        <v>327</v>
      </c>
      <c r="C7" s="29" t="n">
        <f aca="false">C5*C6/100</f>
        <v>6.8</v>
      </c>
      <c r="D7" s="2" t="s">
        <v>230</v>
      </c>
      <c r="H7" s="2" t="s">
        <v>328</v>
      </c>
    </row>
    <row r="8" customFormat="false" ht="15" hidden="false" customHeight="false" outlineLevel="0" collapsed="false">
      <c r="B8" s="4" t="s">
        <v>158</v>
      </c>
      <c r="C8" s="43" t="n">
        <f aca="false">ENTRADAS!C44</f>
        <v>26</v>
      </c>
      <c r="D8" s="2" t="s">
        <v>159</v>
      </c>
      <c r="H8" s="2" t="s">
        <v>160</v>
      </c>
    </row>
    <row r="9" customFormat="false" ht="15" hidden="false" customHeight="false" outlineLevel="0" collapsed="false">
      <c r="B9" s="21" t="s">
        <v>329</v>
      </c>
      <c r="C9" s="45" t="n">
        <f aca="false">C7*C8</f>
        <v>176.8</v>
      </c>
      <c r="D9" s="2" t="s">
        <v>101</v>
      </c>
      <c r="H9" s="2" t="s">
        <v>330</v>
      </c>
    </row>
    <row r="11" customFormat="false" ht="15" hidden="false" customHeight="false" outlineLevel="0" collapsed="false">
      <c r="B11" s="7" t="s">
        <v>331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161</v>
      </c>
      <c r="C12" s="46" t="n">
        <f aca="false">ENTRADAS!C45</f>
        <v>0.86</v>
      </c>
      <c r="D12" s="2"/>
      <c r="H12" s="2" t="s">
        <v>332</v>
      </c>
    </row>
    <row r="13" customFormat="false" ht="15" hidden="false" customHeight="false" outlineLevel="0" collapsed="false">
      <c r="B13" s="21" t="s">
        <v>333</v>
      </c>
      <c r="C13" s="45" t="n">
        <f aca="false">C9/C12</f>
        <v>205.581395348837</v>
      </c>
      <c r="D13" s="2" t="s">
        <v>101</v>
      </c>
      <c r="H13" s="2" t="s">
        <v>334</v>
      </c>
    </row>
    <row r="14" customFormat="false" ht="15" hidden="false" customHeight="false" outlineLevel="0" collapsed="false">
      <c r="B14" s="4" t="s">
        <v>335</v>
      </c>
      <c r="C14" s="12" t="n">
        <f aca="false">C13-C9</f>
        <v>28.7813953488372</v>
      </c>
      <c r="D14" s="2" t="s">
        <v>101</v>
      </c>
      <c r="H14" s="2" t="s">
        <v>336</v>
      </c>
    </row>
    <row r="15" customFormat="false" ht="15" hidden="false" customHeight="false" outlineLevel="0" collapsed="false">
      <c r="B15" s="4" t="s">
        <v>337</v>
      </c>
      <c r="C15" s="15" t="n">
        <f aca="false">C13*ENTRADAS!C18</f>
        <v>209.995227906977</v>
      </c>
      <c r="D15" s="2" t="s">
        <v>121</v>
      </c>
      <c r="H15" s="2" t="s">
        <v>338</v>
      </c>
    </row>
    <row r="16" customFormat="false" ht="15" hidden="false" customHeight="false" outlineLevel="0" collapsed="false">
      <c r="B16" s="4" t="s">
        <v>339</v>
      </c>
      <c r="C16" s="15" t="n">
        <f aca="false">C15*12</f>
        <v>2519.94273488372</v>
      </c>
      <c r="D16" s="2" t="s">
        <v>139</v>
      </c>
      <c r="H16" s="2"/>
    </row>
    <row r="17" customFormat="false" ht="15" hidden="false" customHeight="false" outlineLevel="0" collapsed="false">
      <c r="B17" s="4" t="s">
        <v>340</v>
      </c>
      <c r="C17" s="15" t="n">
        <f aca="false">C13*ENTRADAS!C25</f>
        <v>44.1413681860465</v>
      </c>
      <c r="D17" s="2" t="s">
        <v>121</v>
      </c>
      <c r="H17" s="2" t="s">
        <v>341</v>
      </c>
    </row>
    <row r="18" customFormat="false" ht="15" hidden="false" customHeight="false" outlineLevel="0" collapsed="false">
      <c r="B18" s="21" t="s">
        <v>342</v>
      </c>
      <c r="C18" s="47" t="n">
        <f aca="false">C15-C17</f>
        <v>165.85385972093</v>
      </c>
      <c r="D18" s="2" t="s">
        <v>121</v>
      </c>
      <c r="H18" s="2" t="s">
        <v>343</v>
      </c>
    </row>
    <row r="19" customFormat="false" ht="15" hidden="false" customHeight="false" outlineLevel="0" collapsed="false">
      <c r="B19" s="4" t="s">
        <v>344</v>
      </c>
      <c r="C19" s="15" t="n">
        <f aca="false">C18*12</f>
        <v>1990.24631665116</v>
      </c>
      <c r="D19" s="2" t="s">
        <v>139</v>
      </c>
      <c r="H19" s="2"/>
    </row>
    <row r="20" customFormat="false" ht="15" hidden="false" customHeight="false" outlineLevel="0" collapsed="false">
      <c r="B20" s="4" t="s">
        <v>345</v>
      </c>
      <c r="C20" s="15" t="n">
        <f aca="false">IFERROR(C15/(C5*C8),0)</f>
        <v>0.201918488372093</v>
      </c>
      <c r="D20" s="2" t="s">
        <v>346</v>
      </c>
      <c r="H20" s="2" t="s">
        <v>347</v>
      </c>
    </row>
    <row r="21" customFormat="false" ht="15" hidden="false" customHeight="false" outlineLevel="0" collapsed="false">
      <c r="B21" s="4" t="s">
        <v>348</v>
      </c>
      <c r="C21" s="15" t="n">
        <f aca="false">IFERROR(C17/(C5*C8),0)</f>
        <v>0.042443623255814</v>
      </c>
      <c r="D21" s="2" t="s">
        <v>346</v>
      </c>
      <c r="H21" s="2" t="s">
        <v>349</v>
      </c>
    </row>
    <row r="23" customFormat="false" ht="15" hidden="false" customHeight="false" outlineLevel="0" collapsed="false">
      <c r="B23" s="7" t="s">
        <v>350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351</v>
      </c>
      <c r="C24" s="44" t="n">
        <f aca="false">ENTRADAS!C46</f>
        <v>3.3</v>
      </c>
      <c r="D24" s="2" t="s">
        <v>164</v>
      </c>
      <c r="H24" s="2" t="s">
        <v>352</v>
      </c>
    </row>
    <row r="25" customFormat="false" ht="15" hidden="false" customHeight="false" outlineLevel="0" collapsed="false">
      <c r="B25" s="4" t="s">
        <v>353</v>
      </c>
      <c r="C25" s="29" t="n">
        <f aca="false">IFERROR(C13/C8/C24,0)</f>
        <v>2.39605355884426</v>
      </c>
      <c r="D25" s="2" t="s">
        <v>354</v>
      </c>
      <c r="H25" s="2" t="s">
        <v>355</v>
      </c>
    </row>
    <row r="26" customFormat="false" ht="15" hidden="false" customHeight="false" outlineLevel="0" collapsed="false">
      <c r="B26" s="4" t="s">
        <v>356</v>
      </c>
      <c r="C26" s="29" t="n">
        <f aca="false">IFERROR(ENTRADAS!C41/ENTRADAS!C45/C24,0)</f>
        <v>6.44820295983087</v>
      </c>
      <c r="D26" s="2" t="s">
        <v>357</v>
      </c>
      <c r="H26" s="2" t="s">
        <v>358</v>
      </c>
    </row>
    <row r="27" customFormat="false" ht="15" hidden="false" customHeight="false" outlineLevel="0" collapsed="false">
      <c r="B27" s="4" t="s">
        <v>359</v>
      </c>
      <c r="C27" s="29" t="n">
        <f aca="false">IFERROR(C24*1000/220,0)</f>
        <v>15</v>
      </c>
      <c r="D27" s="2" t="s">
        <v>360</v>
      </c>
      <c r="H27" s="2" t="s">
        <v>361</v>
      </c>
    </row>
    <row r="28" customFormat="false" ht="15" hidden="false" customHeight="false" outlineLevel="0" collapsed="false">
      <c r="B28" s="4" t="s">
        <v>362</v>
      </c>
      <c r="C28" s="29" t="n">
        <f aca="false">IFERROR(C27*1.25,0)</f>
        <v>18.75</v>
      </c>
      <c r="D28" s="2" t="s">
        <v>360</v>
      </c>
      <c r="H28" s="2" t="s">
        <v>363</v>
      </c>
    </row>
    <row r="29" customFormat="false" ht="15" hidden="false" customHeight="false" outlineLevel="0" collapsed="false">
      <c r="B29" s="4" t="s">
        <v>364</v>
      </c>
      <c r="C29" s="29" t="n">
        <f aca="false">C24*1</f>
        <v>3.3</v>
      </c>
      <c r="D29" s="2" t="s">
        <v>150</v>
      </c>
      <c r="H29" s="2" t="s">
        <v>365</v>
      </c>
    </row>
    <row r="31" customFormat="false" ht="15" hidden="false" customHeight="false" outlineLevel="0" collapsed="false">
      <c r="B31" s="7" t="s">
        <v>366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367</v>
      </c>
      <c r="C32" s="17" t="s">
        <v>368</v>
      </c>
      <c r="D32" s="17" t="s">
        <v>369</v>
      </c>
      <c r="E32" s="17" t="s">
        <v>370</v>
      </c>
      <c r="F32" s="17" t="s">
        <v>371</v>
      </c>
      <c r="G32" s="17" t="s">
        <v>372</v>
      </c>
    </row>
    <row r="33" customFormat="false" ht="15" hidden="false" customHeight="false" outlineLevel="0" collapsed="false">
      <c r="B33" s="18" t="s">
        <v>373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374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375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376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377</v>
      </c>
      <c r="C41" s="17" t="s">
        <v>378</v>
      </c>
      <c r="D41" s="17" t="s">
        <v>379</v>
      </c>
      <c r="E41" s="17" t="s">
        <v>380</v>
      </c>
      <c r="F41" s="17" t="s">
        <v>381</v>
      </c>
      <c r="G41" s="17" t="s">
        <v>382</v>
      </c>
    </row>
    <row r="42" customFormat="false" ht="57.45" hidden="false" customHeight="false" outlineLevel="0" collapsed="false">
      <c r="B42" s="50" t="s">
        <v>383</v>
      </c>
      <c r="C42" s="51" t="s">
        <v>384</v>
      </c>
      <c r="D42" s="52" t="n">
        <f aca="false">0</f>
        <v>0</v>
      </c>
      <c r="E42" s="53" t="n">
        <f aca="false">0</f>
        <v>0</v>
      </c>
      <c r="F42" s="51" t="s">
        <v>385</v>
      </c>
      <c r="G42" s="51" t="s">
        <v>386</v>
      </c>
    </row>
    <row r="43" customFormat="false" ht="57.45" hidden="false" customHeight="false" outlineLevel="0" collapsed="false">
      <c r="B43" s="50" t="s">
        <v>387</v>
      </c>
      <c r="C43" s="51" t="s">
        <v>388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389</v>
      </c>
      <c r="G43" s="51" t="s">
        <v>390</v>
      </c>
    </row>
    <row r="44" customFormat="false" ht="15" hidden="false" customHeight="false" outlineLevel="0" collapsed="false">
      <c r="B44" s="50" t="s">
        <v>391</v>
      </c>
      <c r="C44" s="51" t="s">
        <v>392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393</v>
      </c>
      <c r="G44" s="51" t="s">
        <v>394</v>
      </c>
    </row>
    <row r="45" customFormat="false" ht="15" hidden="false" customHeight="false" outlineLevel="0" collapsed="false">
      <c r="B45" s="21" t="s">
        <v>395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396</v>
      </c>
    </row>
    <row r="47" customFormat="false" ht="15" hidden="false" customHeight="false" outlineLevel="0" collapsed="false">
      <c r="B47" s="4" t="s">
        <v>397</v>
      </c>
    </row>
    <row r="48" customFormat="false" ht="15" hidden="false" customHeight="false" outlineLevel="0" collapsed="false">
      <c r="B48" s="4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399</v>
      </c>
    </row>
    <row r="2" customFormat="false" ht="15" hidden="false" customHeight="false" outlineLevel="0" collapsed="false">
      <c r="A2" s="2" t="s">
        <v>400</v>
      </c>
    </row>
    <row r="4" customFormat="false" ht="15" hidden="false" customHeight="false" outlineLevel="0" collapsed="false">
      <c r="B4" s="7" t="s">
        <v>401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402</v>
      </c>
      <c r="C5" s="43" t="n">
        <f aca="false">GERACAO!I17</f>
        <v>1264.268995</v>
      </c>
      <c r="D5" s="2" t="s">
        <v>403</v>
      </c>
    </row>
    <row r="6" customFormat="false" ht="15" hidden="false" customHeight="false" outlineLevel="0" collapsed="false">
      <c r="B6" s="4" t="s">
        <v>404</v>
      </c>
      <c r="C6" s="29" t="n">
        <f aca="false">C5/12</f>
        <v>105.355749583333</v>
      </c>
      <c r="D6" s="2" t="s">
        <v>405</v>
      </c>
    </row>
    <row r="7" customFormat="false" ht="15" hidden="false" customHeight="false" outlineLevel="0" collapsed="false">
      <c r="B7" s="4" t="s">
        <v>406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407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367</v>
      </c>
      <c r="C10" s="17" t="s">
        <v>408</v>
      </c>
      <c r="D10" s="17" t="s">
        <v>409</v>
      </c>
      <c r="E10" s="17" t="s">
        <v>410</v>
      </c>
      <c r="F10" s="17" t="s">
        <v>411</v>
      </c>
    </row>
    <row r="11" customFormat="false" ht="15" hidden="false" customHeight="false" outlineLevel="0" collapsed="false">
      <c r="B11" s="18" t="s">
        <v>412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413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414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415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416</v>
      </c>
      <c r="D16" s="17" t="s">
        <v>417</v>
      </c>
      <c r="E16" s="17" t="s">
        <v>418</v>
      </c>
    </row>
    <row r="17" customFormat="false" ht="23.85" hidden="false" customHeight="false" outlineLevel="0" collapsed="false">
      <c r="B17" s="4" t="s">
        <v>419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420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421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422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423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424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425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426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427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428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429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430</v>
      </c>
    </row>
    <row r="31" customFormat="false" ht="15" hidden="false" customHeight="false" outlineLevel="0" collapsed="false">
      <c r="B31" s="4" t="s">
        <v>431</v>
      </c>
    </row>
    <row r="32" customFormat="false" ht="15" hidden="false" customHeight="false" outlineLevel="0" collapsed="false">
      <c r="B32" s="4" t="s">
        <v>432</v>
      </c>
    </row>
    <row r="33" customFormat="false" ht="15" hidden="false" customHeight="false" outlineLevel="0" collapsed="false">
      <c r="B33" s="4" t="s">
        <v>433</v>
      </c>
    </row>
    <row r="34" customFormat="false" ht="15" hidden="false" customHeight="false" outlineLevel="0" collapsed="false">
      <c r="B34" s="4" t="s">
        <v>434</v>
      </c>
    </row>
    <row r="35" customFormat="false" ht="15" hidden="false" customHeight="false" outlineLevel="0" collapsed="false">
      <c r="B35" s="4" t="s">
        <v>435</v>
      </c>
    </row>
    <row r="36" customFormat="false" ht="15" hidden="false" customHeight="false" outlineLevel="0" collapsed="false">
      <c r="B36" s="4" t="s">
        <v>436</v>
      </c>
    </row>
    <row r="37" customFormat="false" ht="15" hidden="false" customHeight="false" outlineLevel="0" collapsed="false">
      <c r="B37" s="4" t="s">
        <v>437</v>
      </c>
    </row>
    <row r="38" customFormat="false" ht="15" hidden="false" customHeight="false" outlineLevel="0" collapsed="false">
      <c r="B38" s="4" t="s">
        <v>438</v>
      </c>
    </row>
    <row r="39" customFormat="false" ht="15" hidden="false" customHeight="false" outlineLevel="0" collapsed="false">
      <c r="B39" s="4" t="s">
        <v>439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440</v>
      </c>
    </row>
    <row r="42" customFormat="false" ht="15" hidden="false" customHeight="false" outlineLevel="0" collapsed="false">
      <c r="B42" s="4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0" min="3" style="0" width="17"/>
    <col collapsed="false" customWidth="true" hidden="false" outlineLevel="0" max="11" min="11" style="0" width="62"/>
  </cols>
  <sheetData>
    <row r="1" customFormat="false" ht="17.35" hidden="false" customHeight="false" outlineLevel="0" collapsed="false">
      <c r="A1" s="1" t="s">
        <v>442</v>
      </c>
    </row>
    <row r="2" customFormat="false" ht="15" hidden="false" customHeight="false" outlineLevel="0" collapsed="false">
      <c r="A2" s="2" t="s">
        <v>443</v>
      </c>
    </row>
    <row r="4" customFormat="false" ht="51.75" hidden="false" customHeight="true" outlineLevel="0" collapsed="false">
      <c r="B4" s="17" t="s">
        <v>444</v>
      </c>
      <c r="C4" s="17" t="s">
        <v>445</v>
      </c>
      <c r="D4" s="17" t="s">
        <v>446</v>
      </c>
      <c r="E4" s="17" t="s">
        <v>447</v>
      </c>
      <c r="F4" s="17" t="s">
        <v>448</v>
      </c>
      <c r="G4" s="17" t="s">
        <v>449</v>
      </c>
      <c r="H4" s="17" t="s">
        <v>450</v>
      </c>
      <c r="I4" s="17" t="s">
        <v>451</v>
      </c>
      <c r="J4" s="17" t="s">
        <v>452</v>
      </c>
      <c r="K4" s="17" t="s">
        <v>453</v>
      </c>
    </row>
    <row r="5" customFormat="false" ht="23.85" hidden="false" customHeight="false" outlineLevel="0" collapsed="false">
      <c r="B5" s="64" t="s">
        <v>454</v>
      </c>
      <c r="C5" s="65" t="s">
        <v>455</v>
      </c>
      <c r="D5" s="65" t="s">
        <v>455</v>
      </c>
      <c r="E5" s="65" t="s">
        <v>456</v>
      </c>
      <c r="F5" s="65" t="s">
        <v>456</v>
      </c>
      <c r="G5" s="65" t="s">
        <v>457</v>
      </c>
      <c r="H5" s="65" t="s">
        <v>458</v>
      </c>
      <c r="I5" s="65" t="s">
        <v>456</v>
      </c>
      <c r="J5" s="65" t="s">
        <v>459</v>
      </c>
      <c r="K5" s="66" t="s">
        <v>460</v>
      </c>
    </row>
    <row r="6" customFormat="false" ht="22.35" hidden="false" customHeight="false" outlineLevel="0" collapsed="false">
      <c r="B6" s="64" t="s">
        <v>461</v>
      </c>
      <c r="C6" s="65" t="s">
        <v>462</v>
      </c>
      <c r="D6" s="65" t="s">
        <v>462</v>
      </c>
      <c r="E6" s="67" t="s">
        <v>463</v>
      </c>
      <c r="F6" s="67" t="s">
        <v>463</v>
      </c>
      <c r="G6" s="67" t="s">
        <v>463</v>
      </c>
      <c r="H6" s="65" t="s">
        <v>464</v>
      </c>
      <c r="I6" s="67" t="s">
        <v>463</v>
      </c>
      <c r="J6" s="65"/>
      <c r="K6" s="68" t="s">
        <v>465</v>
      </c>
    </row>
    <row r="7" customFormat="false" ht="23.85" hidden="false" customHeight="false" outlineLevel="0" collapsed="false">
      <c r="B7" s="64" t="s">
        <v>466</v>
      </c>
      <c r="C7" s="65" t="s">
        <v>467</v>
      </c>
      <c r="D7" s="65" t="s">
        <v>468</v>
      </c>
      <c r="E7" s="65" t="s">
        <v>469</v>
      </c>
      <c r="F7" s="65" t="s">
        <v>469</v>
      </c>
      <c r="G7" s="65" t="s">
        <v>470</v>
      </c>
      <c r="H7" s="65" t="s">
        <v>471</v>
      </c>
      <c r="I7" s="65" t="s">
        <v>472</v>
      </c>
      <c r="J7" s="65" t="s">
        <v>473</v>
      </c>
      <c r="K7" s="68" t="s">
        <v>474</v>
      </c>
    </row>
    <row r="8" customFormat="false" ht="15" hidden="false" customHeight="false" outlineLevel="0" collapsed="false">
      <c r="B8" s="69" t="s">
        <v>475</v>
      </c>
      <c r="C8" s="70" t="s">
        <v>476</v>
      </c>
      <c r="D8" s="70" t="s">
        <v>476</v>
      </c>
      <c r="E8" s="70" t="s">
        <v>477</v>
      </c>
      <c r="F8" s="70" t="s">
        <v>477</v>
      </c>
      <c r="G8" s="70" t="s">
        <v>477</v>
      </c>
      <c r="H8" s="70" t="s">
        <v>477</v>
      </c>
      <c r="I8" s="70" t="s">
        <v>477</v>
      </c>
      <c r="J8" s="70" t="s">
        <v>478</v>
      </c>
      <c r="K8" s="68" t="s">
        <v>479</v>
      </c>
    </row>
    <row r="9" customFormat="false" ht="15" hidden="false" customHeight="false" outlineLevel="0" collapsed="false">
      <c r="B9" s="64" t="s">
        <v>480</v>
      </c>
      <c r="C9" s="71" t="n">
        <v>12</v>
      </c>
      <c r="D9" s="71" t="n">
        <v>12</v>
      </c>
      <c r="E9" s="71" t="n">
        <v>10</v>
      </c>
      <c r="F9" s="71" t="n">
        <v>10</v>
      </c>
      <c r="G9" s="71" t="n">
        <v>10</v>
      </c>
      <c r="H9" s="71" t="n">
        <v>8</v>
      </c>
      <c r="I9" s="71" t="n">
        <v>10</v>
      </c>
      <c r="J9" s="72"/>
      <c r="K9" s="66" t="s">
        <v>481</v>
      </c>
    </row>
    <row r="10" customFormat="false" ht="15" hidden="false" customHeight="false" outlineLevel="0" collapsed="false">
      <c r="B10" s="64" t="s">
        <v>482</v>
      </c>
      <c r="C10" s="71" t="n">
        <v>615</v>
      </c>
      <c r="D10" s="71" t="n">
        <v>605</v>
      </c>
      <c r="E10" s="71" t="n">
        <v>620</v>
      </c>
      <c r="F10" s="71" t="n">
        <v>620</v>
      </c>
      <c r="G10" s="71" t="n">
        <v>535</v>
      </c>
      <c r="H10" s="71" t="n">
        <v>585</v>
      </c>
      <c r="I10" s="71" t="n">
        <v>650</v>
      </c>
      <c r="J10" s="72"/>
      <c r="K10" s="66" t="s">
        <v>483</v>
      </c>
    </row>
    <row r="11" customFormat="false" ht="23.85" hidden="false" customHeight="false" outlineLevel="0" collapsed="false">
      <c r="B11" s="64" t="s">
        <v>484</v>
      </c>
      <c r="C11" s="65" t="s">
        <v>485</v>
      </c>
      <c r="D11" s="65" t="s">
        <v>486</v>
      </c>
      <c r="E11" s="65" t="s">
        <v>487</v>
      </c>
      <c r="F11" s="65" t="s">
        <v>487</v>
      </c>
      <c r="G11" s="65" t="s">
        <v>488</v>
      </c>
      <c r="H11" s="65" t="s">
        <v>489</v>
      </c>
      <c r="I11" s="65" t="s">
        <v>490</v>
      </c>
      <c r="J11" s="65"/>
      <c r="K11" s="68" t="s">
        <v>491</v>
      </c>
    </row>
    <row r="12" customFormat="false" ht="15" hidden="false" customHeight="false" outlineLevel="0" collapsed="false">
      <c r="B12" s="69" t="s">
        <v>492</v>
      </c>
      <c r="C12" s="73" t="n">
        <f aca="false">C9*C10/1000</f>
        <v>7.38</v>
      </c>
      <c r="D12" s="73" t="n">
        <f aca="false">D9*D10/1000</f>
        <v>7.26</v>
      </c>
      <c r="E12" s="73" t="n">
        <f aca="false">E9*E10/1000</f>
        <v>6.2</v>
      </c>
      <c r="F12" s="73" t="n">
        <f aca="false">F9*F10/1000</f>
        <v>6.2</v>
      </c>
      <c r="G12" s="73" t="n">
        <f aca="false">G9*G10/1000</f>
        <v>5.35</v>
      </c>
      <c r="H12" s="73" t="n">
        <f aca="false">H9*H10/1000</f>
        <v>4.68</v>
      </c>
      <c r="I12" s="73" t="n">
        <f aca="false">I9*I10/1000</f>
        <v>6.5</v>
      </c>
      <c r="J12" s="73"/>
      <c r="K12" s="66" t="s">
        <v>493</v>
      </c>
    </row>
    <row r="13" customFormat="false" ht="23.85" hidden="false" customHeight="false" outlineLevel="0" collapsed="false">
      <c r="B13" s="64" t="s">
        <v>494</v>
      </c>
      <c r="C13" s="65" t="s">
        <v>495</v>
      </c>
      <c r="D13" s="65" t="s">
        <v>495</v>
      </c>
      <c r="E13" s="65" t="s">
        <v>496</v>
      </c>
      <c r="F13" s="65" t="s">
        <v>497</v>
      </c>
      <c r="G13" s="65" t="s">
        <v>498</v>
      </c>
      <c r="H13" s="65" t="s">
        <v>499</v>
      </c>
      <c r="I13" s="65" t="s">
        <v>500</v>
      </c>
      <c r="J13" s="65"/>
      <c r="K13" s="68" t="s">
        <v>501</v>
      </c>
    </row>
    <row r="14" customFormat="false" ht="15" hidden="false" customHeight="false" outlineLevel="0" collapsed="false">
      <c r="B14" s="64" t="s">
        <v>502</v>
      </c>
      <c r="C14" s="74" t="n">
        <v>6</v>
      </c>
      <c r="D14" s="74" t="n">
        <v>6</v>
      </c>
      <c r="E14" s="74" t="n">
        <v>5</v>
      </c>
      <c r="F14" s="74" t="n">
        <v>5</v>
      </c>
      <c r="G14" s="74" t="n">
        <v>4</v>
      </c>
      <c r="H14" s="74" t="n">
        <v>3</v>
      </c>
      <c r="I14" s="74" t="n">
        <v>9</v>
      </c>
      <c r="J14" s="75"/>
      <c r="K14" s="66" t="s">
        <v>503</v>
      </c>
    </row>
    <row r="15" customFormat="false" ht="43.25" hidden="false" customHeight="false" outlineLevel="0" collapsed="false">
      <c r="B15" s="64" t="s">
        <v>504</v>
      </c>
      <c r="C15" s="65" t="s">
        <v>505</v>
      </c>
      <c r="D15" s="65" t="s">
        <v>505</v>
      </c>
      <c r="E15" s="65" t="s">
        <v>506</v>
      </c>
      <c r="F15" s="65" t="s">
        <v>506</v>
      </c>
      <c r="G15" s="65" t="s">
        <v>505</v>
      </c>
      <c r="H15" s="65" t="s">
        <v>507</v>
      </c>
      <c r="I15" s="65" t="s">
        <v>508</v>
      </c>
      <c r="J15" s="65"/>
      <c r="K15" s="68" t="s">
        <v>509</v>
      </c>
    </row>
    <row r="16" customFormat="false" ht="43.25" hidden="false" customHeight="false" outlineLevel="0" collapsed="false">
      <c r="B16" s="69" t="s">
        <v>510</v>
      </c>
      <c r="C16" s="76" t="n">
        <f aca="false">IFERROR(C12/C14,0)</f>
        <v>1.23</v>
      </c>
      <c r="D16" s="76" t="n">
        <f aca="false">IFERROR(D12/D14,0)</f>
        <v>1.21</v>
      </c>
      <c r="E16" s="76" t="n">
        <f aca="false">IFERROR(E12/E14,0)</f>
        <v>1.24</v>
      </c>
      <c r="F16" s="76" t="n">
        <f aca="false">IFERROR(F12/F14,0)</f>
        <v>1.24</v>
      </c>
      <c r="G16" s="76" t="n">
        <f aca="false">IFERROR(G12/G14,0)</f>
        <v>1.3375</v>
      </c>
      <c r="H16" s="76" t="n">
        <f aca="false">IFERROR(H12/H14,0)</f>
        <v>1.56</v>
      </c>
      <c r="I16" s="76" t="n">
        <f aca="false">IFERROR(I12/I14,0)</f>
        <v>0.722222222222222</v>
      </c>
      <c r="J16" s="76"/>
      <c r="K16" s="68" t="s">
        <v>511</v>
      </c>
    </row>
    <row r="17" customFormat="false" ht="22.35" hidden="false" customHeight="false" outlineLevel="0" collapsed="false">
      <c r="B17" s="64" t="s">
        <v>512</v>
      </c>
      <c r="C17" s="77" t="s">
        <v>513</v>
      </c>
      <c r="D17" s="77" t="s">
        <v>513</v>
      </c>
      <c r="E17" s="77" t="s">
        <v>514</v>
      </c>
      <c r="F17" s="77" t="s">
        <v>514</v>
      </c>
      <c r="G17" s="77" t="s">
        <v>513</v>
      </c>
      <c r="H17" s="77" t="s">
        <v>513</v>
      </c>
      <c r="I17" s="77" t="s">
        <v>514</v>
      </c>
      <c r="J17" s="77"/>
      <c r="K17" s="68" t="s">
        <v>515</v>
      </c>
    </row>
    <row r="18" customFormat="false" ht="22.35" hidden="false" customHeight="false" outlineLevel="0" collapsed="false">
      <c r="B18" s="64" t="s">
        <v>516</v>
      </c>
      <c r="C18" s="65" t="s">
        <v>517</v>
      </c>
      <c r="D18" s="65" t="s">
        <v>517</v>
      </c>
      <c r="E18" s="65" t="s">
        <v>518</v>
      </c>
      <c r="F18" s="65" t="s">
        <v>518</v>
      </c>
      <c r="G18" s="65" t="s">
        <v>519</v>
      </c>
      <c r="H18" s="65" t="s">
        <v>519</v>
      </c>
      <c r="I18" s="65" t="s">
        <v>518</v>
      </c>
      <c r="J18" s="65"/>
      <c r="K18" s="68" t="s">
        <v>520</v>
      </c>
    </row>
    <row r="19" customFormat="false" ht="19.4" hidden="false" customHeight="false" outlineLevel="0" collapsed="false">
      <c r="B19" s="64" t="s">
        <v>521</v>
      </c>
      <c r="C19" s="75" t="n">
        <f aca="false">C9*2.64</f>
        <v>31.68</v>
      </c>
      <c r="D19" s="75" t="n">
        <f aca="false">D9*2.64</f>
        <v>31.68</v>
      </c>
      <c r="E19" s="75" t="n">
        <f aca="false">E9*2.64</f>
        <v>26.4</v>
      </c>
      <c r="F19" s="75" t="n">
        <f aca="false">F9*2.64</f>
        <v>26.4</v>
      </c>
      <c r="G19" s="75" t="n">
        <f aca="false">G9*2.64</f>
        <v>26.4</v>
      </c>
      <c r="H19" s="75" t="n">
        <f aca="false">H9*2.64</f>
        <v>21.12</v>
      </c>
      <c r="I19" s="75" t="n">
        <f aca="false">I9*2.64</f>
        <v>26.4</v>
      </c>
      <c r="J19" s="75"/>
      <c r="K19" s="66" t="s">
        <v>522</v>
      </c>
    </row>
    <row r="20" customFormat="false" ht="23.85" hidden="false" customHeight="false" outlineLevel="0" collapsed="false">
      <c r="B20" s="64" t="s">
        <v>523</v>
      </c>
      <c r="C20" s="65" t="s">
        <v>518</v>
      </c>
      <c r="D20" s="65" t="s">
        <v>518</v>
      </c>
      <c r="E20" s="65" t="s">
        <v>518</v>
      </c>
      <c r="F20" s="65" t="s">
        <v>518</v>
      </c>
      <c r="G20" s="65" t="s">
        <v>518</v>
      </c>
      <c r="H20" s="65" t="s">
        <v>524</v>
      </c>
      <c r="I20" s="65" t="s">
        <v>518</v>
      </c>
      <c r="J20" s="65"/>
      <c r="K20" s="66" t="s">
        <v>525</v>
      </c>
    </row>
    <row r="21" customFormat="false" ht="15" hidden="false" customHeight="false" outlineLevel="0" collapsed="false">
      <c r="B21" s="64" t="s">
        <v>526</v>
      </c>
      <c r="C21" s="65" t="s">
        <v>518</v>
      </c>
      <c r="D21" s="65" t="s">
        <v>518</v>
      </c>
      <c r="E21" s="65" t="s">
        <v>518</v>
      </c>
      <c r="F21" s="65" t="s">
        <v>518</v>
      </c>
      <c r="G21" s="65" t="s">
        <v>518</v>
      </c>
      <c r="H21" s="65" t="s">
        <v>527</v>
      </c>
      <c r="I21" s="65" t="s">
        <v>518</v>
      </c>
      <c r="J21" s="65"/>
      <c r="K21" s="66" t="s">
        <v>528</v>
      </c>
    </row>
    <row r="22" customFormat="false" ht="15" hidden="false" customHeight="false" outlineLevel="0" collapsed="false">
      <c r="B22" s="64" t="s">
        <v>529</v>
      </c>
      <c r="C22" s="65" t="s">
        <v>518</v>
      </c>
      <c r="D22" s="65" t="s">
        <v>518</v>
      </c>
      <c r="E22" s="65" t="s">
        <v>518</v>
      </c>
      <c r="F22" s="65" t="s">
        <v>518</v>
      </c>
      <c r="G22" s="65" t="s">
        <v>518</v>
      </c>
      <c r="H22" s="65" t="s">
        <v>530</v>
      </c>
      <c r="I22" s="65" t="s">
        <v>518</v>
      </c>
      <c r="J22" s="65"/>
      <c r="K22" s="66" t="s">
        <v>531</v>
      </c>
    </row>
    <row r="23" customFormat="false" ht="32.8" hidden="false" customHeight="false" outlineLevel="0" collapsed="false">
      <c r="B23" s="64" t="s">
        <v>532</v>
      </c>
      <c r="C23" s="65" t="s">
        <v>533</v>
      </c>
      <c r="D23" s="65" t="s">
        <v>533</v>
      </c>
      <c r="E23" s="65" t="s">
        <v>533</v>
      </c>
      <c r="F23" s="65" t="s">
        <v>533</v>
      </c>
      <c r="G23" s="65" t="s">
        <v>533</v>
      </c>
      <c r="H23" s="67" t="s">
        <v>534</v>
      </c>
      <c r="I23" s="65" t="s">
        <v>533</v>
      </c>
      <c r="J23" s="65"/>
      <c r="K23" s="68" t="s">
        <v>535</v>
      </c>
    </row>
    <row r="24" customFormat="false" ht="35.05" hidden="false" customHeight="false" outlineLevel="0" collapsed="false">
      <c r="B24" s="64" t="s">
        <v>536</v>
      </c>
      <c r="C24" s="65" t="s">
        <v>537</v>
      </c>
      <c r="D24" s="65" t="s">
        <v>537</v>
      </c>
      <c r="E24" s="65" t="s">
        <v>538</v>
      </c>
      <c r="F24" s="65" t="s">
        <v>538</v>
      </c>
      <c r="G24" s="65" t="s">
        <v>539</v>
      </c>
      <c r="H24" s="65" t="s">
        <v>540</v>
      </c>
      <c r="I24" s="65" t="s">
        <v>541</v>
      </c>
      <c r="J24" s="65"/>
      <c r="K24" s="66" t="s">
        <v>542</v>
      </c>
    </row>
    <row r="25" customFormat="false" ht="15" hidden="false" customHeight="false" outlineLevel="0" collapsed="false">
      <c r="B25" s="7" t="s">
        <v>543</v>
      </c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9.4" hidden="false" customHeight="false" outlineLevel="0" collapsed="false">
      <c r="B26" s="64" t="s">
        <v>544</v>
      </c>
      <c r="C26" s="78" t="n">
        <v>18228.7</v>
      </c>
      <c r="D26" s="78" t="n">
        <v>17307.9</v>
      </c>
      <c r="E26" s="78" t="n">
        <v>14220.34</v>
      </c>
      <c r="F26" s="78" t="n">
        <v>15220.34</v>
      </c>
      <c r="G26" s="78" t="n">
        <v>11158.91</v>
      </c>
      <c r="H26" s="78" t="n">
        <v>12387.64</v>
      </c>
      <c r="I26" s="78" t="n">
        <v>16780.54</v>
      </c>
      <c r="J26" s="79"/>
      <c r="K26" s="66" t="s">
        <v>545</v>
      </c>
    </row>
    <row r="27" customFormat="false" ht="22.35" hidden="false" customHeight="false" outlineLevel="0" collapsed="false">
      <c r="B27" s="64" t="s">
        <v>546</v>
      </c>
      <c r="C27" s="78" t="n">
        <v>0</v>
      </c>
      <c r="D27" s="78" t="n">
        <v>0</v>
      </c>
      <c r="E27" s="78" t="n">
        <v>1800</v>
      </c>
      <c r="F27" s="78" t="n">
        <v>1800</v>
      </c>
      <c r="G27" s="78" t="n">
        <v>0</v>
      </c>
      <c r="H27" s="78" t="n">
        <v>0</v>
      </c>
      <c r="I27" s="78" t="n">
        <v>1800</v>
      </c>
      <c r="J27" s="79"/>
      <c r="K27" s="68" t="s">
        <v>547</v>
      </c>
    </row>
    <row r="28" customFormat="false" ht="19.4" hidden="false" customHeight="false" outlineLevel="0" collapsed="false">
      <c r="B28" s="64" t="s">
        <v>548</v>
      </c>
      <c r="C28" s="78" t="n">
        <v>790</v>
      </c>
      <c r="D28" s="78" t="n">
        <v>790</v>
      </c>
      <c r="E28" s="78" t="n">
        <v>0</v>
      </c>
      <c r="F28" s="78" t="n">
        <v>0</v>
      </c>
      <c r="G28" s="78" t="n">
        <v>790</v>
      </c>
      <c r="H28" s="78" t="n">
        <v>0</v>
      </c>
      <c r="I28" s="78" t="n">
        <v>0</v>
      </c>
      <c r="J28" s="79"/>
      <c r="K28" s="66" t="s">
        <v>549</v>
      </c>
    </row>
    <row r="29" customFormat="false" ht="22.35" hidden="false" customHeight="false" outlineLevel="0" collapsed="false">
      <c r="B29" s="64" t="s">
        <v>550</v>
      </c>
      <c r="C29" s="79" t="n">
        <f aca="false">6900/10*C9</f>
        <v>8280</v>
      </c>
      <c r="D29" s="79" t="n">
        <f aca="false">6900/10*D9</f>
        <v>8280</v>
      </c>
      <c r="E29" s="78" t="n">
        <v>0</v>
      </c>
      <c r="F29" s="78" t="n">
        <v>0</v>
      </c>
      <c r="G29" s="78" t="n">
        <v>6900</v>
      </c>
      <c r="H29" s="78" t="n">
        <v>0</v>
      </c>
      <c r="I29" s="78" t="n">
        <v>0</v>
      </c>
      <c r="J29" s="79"/>
      <c r="K29" s="68" t="s">
        <v>551</v>
      </c>
    </row>
    <row r="30" customFormat="false" ht="22.35" hidden="false" customHeight="false" outlineLevel="0" collapsed="false">
      <c r="B30" s="64" t="s">
        <v>552</v>
      </c>
      <c r="C30" s="79" t="n">
        <f aca="false">ENTRADAS!$C$28</f>
        <v>2500</v>
      </c>
      <c r="D30" s="79" t="n">
        <f aca="false">ENTRADAS!$C$28</f>
        <v>2500</v>
      </c>
      <c r="E30" s="79" t="n">
        <f aca="false">ENTRADAS!$C$28</f>
        <v>2500</v>
      </c>
      <c r="F30" s="79" t="n">
        <f aca="false">ENTRADAS!$C$28</f>
        <v>2500</v>
      </c>
      <c r="G30" s="79" t="n">
        <f aca="false">ENTRADAS!$C$28</f>
        <v>2500</v>
      </c>
      <c r="H30" s="79" t="n">
        <f aca="false">ENTRADAS!$C$28</f>
        <v>2500</v>
      </c>
      <c r="I30" s="79" t="n">
        <f aca="false">ENTRADAS!$C$28</f>
        <v>2500</v>
      </c>
      <c r="J30" s="79"/>
      <c r="K30" s="68" t="s">
        <v>553</v>
      </c>
    </row>
    <row r="31" customFormat="false" ht="15" hidden="false" customHeight="false" outlineLevel="0" collapsed="false">
      <c r="B31" s="69" t="s">
        <v>554</v>
      </c>
      <c r="C31" s="80" t="n">
        <f aca="false">SUM(C26:C30)</f>
        <v>29798.7</v>
      </c>
      <c r="D31" s="80" t="n">
        <f aca="false">SUM(D26:D30)</f>
        <v>28877.9</v>
      </c>
      <c r="E31" s="80" t="n">
        <f aca="false">SUM(E26:E30)</f>
        <v>18520.34</v>
      </c>
      <c r="F31" s="80" t="n">
        <f aca="false">SUM(F26:F30)</f>
        <v>19520.34</v>
      </c>
      <c r="G31" s="80" t="n">
        <f aca="false">SUM(G26:G30)</f>
        <v>21348.91</v>
      </c>
      <c r="H31" s="80" t="n">
        <f aca="false">SUM(H26:H30)</f>
        <v>14887.64</v>
      </c>
      <c r="I31" s="80" t="n">
        <f aca="false">SUM(I26:I30)</f>
        <v>21080.54</v>
      </c>
      <c r="J31" s="80"/>
      <c r="K31" s="66" t="s">
        <v>555</v>
      </c>
    </row>
    <row r="32" customFormat="false" ht="15" hidden="false" customHeight="false" outlineLevel="0" collapsed="false">
      <c r="B32" s="69" t="s">
        <v>556</v>
      </c>
      <c r="C32" s="81" t="n">
        <f aca="false">IFERROR(C31/(C12*1000),0)</f>
        <v>4.03776422764228</v>
      </c>
      <c r="D32" s="81" t="n">
        <f aca="false">IFERROR(D31/(D12*1000),0)</f>
        <v>3.97767217630854</v>
      </c>
      <c r="E32" s="81" t="n">
        <f aca="false">IFERROR(E31/(E12*1000),0)</f>
        <v>2.98715161290323</v>
      </c>
      <c r="F32" s="81" t="n">
        <f aca="false">IFERROR(F31/(F12*1000),0)</f>
        <v>3.14844193548387</v>
      </c>
      <c r="G32" s="81" t="n">
        <f aca="false">IFERROR(G31/(G12*1000),0)</f>
        <v>3.99045046728972</v>
      </c>
      <c r="H32" s="81" t="n">
        <f aca="false">IFERROR(H31/(H12*1000),0)</f>
        <v>3.18111965811966</v>
      </c>
      <c r="I32" s="81" t="n">
        <f aca="false">IFERROR(I31/(I12*1000),0)</f>
        <v>3.24316</v>
      </c>
      <c r="J32" s="81"/>
      <c r="K32" s="66" t="s">
        <v>557</v>
      </c>
    </row>
    <row r="33" customFormat="false" ht="15" hidden="false" customHeight="false" outlineLevel="0" collapsed="false">
      <c r="B33" s="64" t="s">
        <v>558</v>
      </c>
      <c r="C33" s="82" t="n">
        <f aca="false">IFERROR(C26/(C12*1000),0)</f>
        <v>2.4700135501355</v>
      </c>
      <c r="D33" s="82" t="n">
        <f aca="false">IFERROR(D26/(D12*1000),0)</f>
        <v>2.38400826446281</v>
      </c>
      <c r="E33" s="82" t="s">
        <v>559</v>
      </c>
      <c r="F33" s="82" t="s">
        <v>559</v>
      </c>
      <c r="G33" s="82" t="n">
        <f aca="false">IFERROR(G26/(G12*1000),0)</f>
        <v>2.08577757009346</v>
      </c>
      <c r="H33" s="82" t="s">
        <v>559</v>
      </c>
      <c r="I33" s="82" t="s">
        <v>559</v>
      </c>
      <c r="J33" s="82"/>
      <c r="K33" s="66" t="s">
        <v>560</v>
      </c>
    </row>
    <row r="35" customFormat="false" ht="15" hidden="false" customHeight="false" outlineLevel="0" collapsed="false">
      <c r="B35" s="7" t="s">
        <v>561</v>
      </c>
      <c r="C35" s="8"/>
      <c r="D35" s="8"/>
      <c r="E35" s="8"/>
      <c r="F35" s="8"/>
      <c r="G35" s="8"/>
      <c r="H35" s="8"/>
      <c r="I35" s="8"/>
      <c r="J35" s="8"/>
      <c r="K35" s="8"/>
    </row>
    <row r="36" customFormat="false" ht="15" hidden="false" customHeight="false" outlineLevel="0" collapsed="false">
      <c r="B36" s="64" t="s">
        <v>562</v>
      </c>
      <c r="C36" s="72" t="n">
        <f aca="false">C12*GERACAO!$I$17</f>
        <v>9330.3051831</v>
      </c>
      <c r="D36" s="72" t="n">
        <f aca="false">D12*GERACAO!$I$17</f>
        <v>9178.5929037</v>
      </c>
      <c r="E36" s="72" t="n">
        <f aca="false">E12*GERACAO!$I$17</f>
        <v>7838.467769</v>
      </c>
      <c r="F36" s="72" t="n">
        <f aca="false">F12*GERACAO!$I$17</f>
        <v>7838.467769</v>
      </c>
      <c r="G36" s="72" t="n">
        <f aca="false">G12*GERACAO!$I$17</f>
        <v>6763.83912325</v>
      </c>
      <c r="H36" s="72" t="n">
        <f aca="false">H12*GERACAO!$I$17</f>
        <v>5916.7788966</v>
      </c>
      <c r="I36" s="72" t="n">
        <f aca="false">I12*GERACAO!$I$17</f>
        <v>8217.7484675</v>
      </c>
      <c r="J36" s="72"/>
      <c r="K36" s="66" t="s">
        <v>563</v>
      </c>
    </row>
    <row r="37" customFormat="false" ht="15" hidden="false" customHeight="false" outlineLevel="0" collapsed="false">
      <c r="B37" s="64" t="s">
        <v>564</v>
      </c>
      <c r="C37" s="72" t="n">
        <f aca="false">C36/12</f>
        <v>777.525431925</v>
      </c>
      <c r="D37" s="72" t="n">
        <f aca="false">D36/12</f>
        <v>764.882741975</v>
      </c>
      <c r="E37" s="72" t="n">
        <f aca="false">E36/12</f>
        <v>653.205647416667</v>
      </c>
      <c r="F37" s="72" t="n">
        <f aca="false">F36/12</f>
        <v>653.205647416667</v>
      </c>
      <c r="G37" s="72" t="n">
        <f aca="false">G36/12</f>
        <v>563.653260270833</v>
      </c>
      <c r="H37" s="72" t="n">
        <f aca="false">H36/12</f>
        <v>493.06490805</v>
      </c>
      <c r="I37" s="72" t="n">
        <f aca="false">I36/12</f>
        <v>684.812372291667</v>
      </c>
      <c r="J37" s="72"/>
      <c r="K37" s="66"/>
    </row>
    <row r="38" customFormat="false" ht="15" hidden="false" customHeight="false" outlineLevel="0" collapsed="false">
      <c r="B38" s="64" t="s">
        <v>565</v>
      </c>
      <c r="C38" s="72" t="n">
        <f aca="false">C36/ENTRADAS!$C$31*ENTRADAS!$C$32</f>
        <v>8503.5692808</v>
      </c>
      <c r="D38" s="72" t="n">
        <f aca="false">D36/ENTRADAS!$C$31*ENTRADAS!$C$32</f>
        <v>8365.2998616</v>
      </c>
      <c r="E38" s="72" t="n">
        <f aca="false">E36/ENTRADAS!$C$31*ENTRADAS!$C$32</f>
        <v>7143.919992</v>
      </c>
      <c r="F38" s="72" t="n">
        <f aca="false">F36/ENTRADAS!$C$31*ENTRADAS!$C$32</f>
        <v>7143.919992</v>
      </c>
      <c r="G38" s="72" t="n">
        <f aca="false">G36/ENTRADAS!$C$31*ENTRADAS!$C$32</f>
        <v>6164.511606</v>
      </c>
      <c r="H38" s="72" t="n">
        <f aca="false">H36/ENTRADAS!$C$31*ENTRADAS!$C$32</f>
        <v>5392.5073488</v>
      </c>
      <c r="I38" s="72" t="n">
        <f aca="false">I36/ENTRADAS!$C$31*ENTRADAS!$C$32</f>
        <v>7489.59354</v>
      </c>
      <c r="J38" s="72"/>
      <c r="K38" s="66" t="s">
        <v>566</v>
      </c>
    </row>
    <row r="39" customFormat="false" ht="19.4" hidden="false" customHeight="false" outlineLevel="0" collapsed="false">
      <c r="B39" s="64" t="s">
        <v>567</v>
      </c>
      <c r="C39" s="71" t="n">
        <v>10554</v>
      </c>
      <c r="D39" s="71" t="n">
        <v>0</v>
      </c>
      <c r="E39" s="71" t="n">
        <v>8400</v>
      </c>
      <c r="F39" s="71" t="n">
        <v>8400</v>
      </c>
      <c r="G39" s="71" t="n">
        <v>6151</v>
      </c>
      <c r="H39" s="71" t="n">
        <v>6367.5</v>
      </c>
      <c r="I39" s="71" t="n">
        <v>8400</v>
      </c>
      <c r="J39" s="72"/>
      <c r="K39" s="66" t="s">
        <v>568</v>
      </c>
    </row>
    <row r="40" customFormat="false" ht="15" hidden="false" customHeight="false" outlineLevel="0" collapsed="false">
      <c r="B40" s="69" t="s">
        <v>569</v>
      </c>
      <c r="C40" s="83" t="n">
        <f aca="false">IFERROR(C36/C39-1,0)</f>
        <v>-0.115946069442865</v>
      </c>
      <c r="D40" s="83" t="n">
        <f aca="false">IFERROR(D36/D39-1,0)</f>
        <v>0</v>
      </c>
      <c r="E40" s="83" t="n">
        <f aca="false">IFERROR(E36/E39-1,0)</f>
        <v>-0.0668490751190475</v>
      </c>
      <c r="F40" s="83" t="n">
        <f aca="false">IFERROR(F36/F39-1,0)</f>
        <v>-0.0668490751190475</v>
      </c>
      <c r="G40" s="83" t="n">
        <f aca="false">IFERROR(G36/G39-1,0)</f>
        <v>0.0996324375304829</v>
      </c>
      <c r="H40" s="83" t="n">
        <f aca="false">IFERROR(H36/H39-1,0)</f>
        <v>-0.0707846255830389</v>
      </c>
      <c r="I40" s="83" t="n">
        <f aca="false">IFERROR(I36/I39-1,0)</f>
        <v>-0.0216966110119046</v>
      </c>
      <c r="J40" s="83"/>
      <c r="K40" s="68" t="s">
        <v>570</v>
      </c>
    </row>
    <row r="41" customFormat="false" ht="15" hidden="false" customHeight="false" outlineLevel="0" collapsed="false">
      <c r="B41" s="64" t="s">
        <v>571</v>
      </c>
      <c r="C41" s="72" t="n">
        <f aca="false">C12*GERACAO!$J$17</f>
        <v>10488.7105362</v>
      </c>
      <c r="D41" s="72" t="n">
        <f aca="false">D12*GERACAO!$J$17</f>
        <v>10318.1623974</v>
      </c>
      <c r="E41" s="72" t="n">
        <f aca="false">E12*GERACAO!$J$17</f>
        <v>8811.653838</v>
      </c>
      <c r="F41" s="72" t="n">
        <f aca="false">F12*GERACAO!$J$17</f>
        <v>8811.653838</v>
      </c>
      <c r="G41" s="72" t="n">
        <f aca="false">G12*GERACAO!$J$17</f>
        <v>7603.6045215</v>
      </c>
      <c r="H41" s="72" t="n">
        <f aca="false">H12*GERACAO!$J$17</f>
        <v>6651.3774132</v>
      </c>
      <c r="I41" s="72" t="n">
        <f aca="false">I12*GERACAO!$J$17</f>
        <v>9238.024185</v>
      </c>
      <c r="J41" s="72"/>
      <c r="K41" s="66" t="s">
        <v>572</v>
      </c>
    </row>
    <row r="43" customFormat="false" ht="15" hidden="false" customHeight="false" outlineLevel="0" collapsed="false">
      <c r="B43" s="7" t="s">
        <v>573</v>
      </c>
      <c r="C43" s="8"/>
      <c r="D43" s="8"/>
      <c r="E43" s="8"/>
      <c r="F43" s="8"/>
      <c r="G43" s="8"/>
      <c r="H43" s="8"/>
      <c r="I43" s="8"/>
      <c r="J43" s="8"/>
      <c r="K43" s="8"/>
    </row>
    <row r="44" customFormat="false" ht="15" hidden="false" customHeight="false" outlineLevel="0" collapsed="false">
      <c r="B44" s="64" t="s">
        <v>574</v>
      </c>
      <c r="C44" s="84" t="n">
        <f aca="false">IFERROR(C36/(BYD!$F$33*12),0)</f>
        <v>2.03896529350962</v>
      </c>
      <c r="D44" s="84" t="n">
        <f aca="false">IFERROR(D36/(BYD!$F$33*12),0)</f>
        <v>2.00581138629808</v>
      </c>
      <c r="E44" s="84" t="n">
        <f aca="false">IFERROR(E36/(BYD!$F$33*12),0)</f>
        <v>1.71295187259615</v>
      </c>
      <c r="F44" s="84" t="n">
        <f aca="false">IFERROR(F36/(BYD!$F$33*12),0)</f>
        <v>1.71295187259615</v>
      </c>
      <c r="G44" s="84" t="n">
        <f aca="false">IFERROR(G36/(BYD!$F$33*12),0)</f>
        <v>1.47811169651442</v>
      </c>
      <c r="H44" s="84" t="n">
        <f aca="false">IFERROR(H36/(BYD!$F$33*12),0)</f>
        <v>1.29300238125</v>
      </c>
      <c r="I44" s="84" t="n">
        <f aca="false">IFERROR(I36/(BYD!$F$33*12),0)</f>
        <v>1.795836640625</v>
      </c>
      <c r="J44" s="84"/>
      <c r="K44" s="66" t="s">
        <v>575</v>
      </c>
    </row>
    <row r="45" customFormat="false" ht="15" hidden="false" customHeight="false" outlineLevel="0" collapsed="false">
      <c r="B45" s="64" t="s">
        <v>576</v>
      </c>
      <c r="C45" s="84" t="n">
        <f aca="false">IFERROR(C36/(BYD!$F$34*12),0)</f>
        <v>1.32476728548084</v>
      </c>
      <c r="D45" s="84" t="n">
        <f aca="false">IFERROR(D36/(BYD!$F$34*12),0)</f>
        <v>1.3032263540096</v>
      </c>
      <c r="E45" s="84" t="n">
        <f aca="false">IFERROR(E36/(BYD!$F$34*12),0)</f>
        <v>1.11294812601371</v>
      </c>
      <c r="F45" s="84" t="n">
        <f aca="false">IFERROR(F36/(BYD!$F$34*12),0)</f>
        <v>1.11294812601371</v>
      </c>
      <c r="G45" s="84" t="n">
        <f aca="false">IFERROR(G36/(BYD!$F$34*12),0)</f>
        <v>0.960366528092475</v>
      </c>
      <c r="H45" s="84" t="n">
        <f aca="false">IFERROR(H36/(BYD!$F$34*12),0)</f>
        <v>0.840096327378091</v>
      </c>
      <c r="I45" s="84" t="n">
        <f aca="false">IFERROR(I36/(BYD!$F$34*12),0)</f>
        <v>1.16680045469179</v>
      </c>
      <c r="J45" s="84"/>
      <c r="K45" s="66"/>
    </row>
    <row r="46" customFormat="false" ht="15" hidden="false" customHeight="false" outlineLevel="0" collapsed="false">
      <c r="B46" s="69" t="s">
        <v>577</v>
      </c>
      <c r="C46" s="85" t="n">
        <f aca="false">IFERROR(C36/(BYD!$F$35*12),0)</f>
        <v>1.15197155259203</v>
      </c>
      <c r="D46" s="85" t="n">
        <f aca="false">IFERROR(D36/(BYD!$F$35*12),0)</f>
        <v>1.13324030783444</v>
      </c>
      <c r="E46" s="85" t="n">
        <f aca="false">IFERROR(E36/(BYD!$F$35*12),0)</f>
        <v>0.967780979142357</v>
      </c>
      <c r="F46" s="85" t="n">
        <f aca="false">IFERROR(F36/(BYD!$F$35*12),0)</f>
        <v>0.967780979142357</v>
      </c>
      <c r="G46" s="85" t="n">
        <f aca="false">IFERROR(G36/(BYD!$F$35*12),0)</f>
        <v>0.835101328776066</v>
      </c>
      <c r="H46" s="85" t="n">
        <f aca="false">IFERROR(H36/(BYD!$F$35*12),0)</f>
        <v>0.730518545546166</v>
      </c>
      <c r="I46" s="85" t="n">
        <f aca="false">IFERROR(I36/(BYD!$F$35*12),0)</f>
        <v>1.01460909103634</v>
      </c>
      <c r="J46" s="85"/>
      <c r="K46" s="66" t="s">
        <v>578</v>
      </c>
    </row>
    <row r="47" customFormat="false" ht="15" hidden="false" customHeight="false" outlineLevel="0" collapsed="false">
      <c r="B47" s="64" t="s">
        <v>579</v>
      </c>
      <c r="C47" s="72" t="n">
        <f aca="false">C36-BYD!$G$35</f>
        <v>1230.88192728605</v>
      </c>
      <c r="D47" s="72" t="n">
        <f aca="false">D36-BYD!$G$35</f>
        <v>1079.16964788605</v>
      </c>
      <c r="E47" s="72" t="n">
        <f aca="false">E36-BYD!$G$35</f>
        <v>-260.955486813953</v>
      </c>
      <c r="F47" s="72" t="n">
        <f aca="false">F36-BYD!$G$35</f>
        <v>-260.955486813953</v>
      </c>
      <c r="G47" s="72" t="n">
        <f aca="false">G36-BYD!$G$35</f>
        <v>-1335.58413256395</v>
      </c>
      <c r="H47" s="72" t="n">
        <f aca="false">H36-BYD!$G$35</f>
        <v>-2182.64435921395</v>
      </c>
      <c r="I47" s="72" t="n">
        <f aca="false">I36-BYD!$G$35</f>
        <v>118.325211686048</v>
      </c>
      <c r="J47" s="72"/>
      <c r="K47" s="66" t="s">
        <v>580</v>
      </c>
    </row>
    <row r="48" customFormat="false" ht="15" hidden="false" customHeight="false" outlineLevel="0" collapsed="false">
      <c r="B48" s="69" t="s">
        <v>581</v>
      </c>
      <c r="C48" s="86" t="n">
        <f aca="false">IFERROR(ROUNDUP(MAX(0,BYD!$G$35-C36)/GERACAO!$I$17*1000/C10,0),0)</f>
        <v>0</v>
      </c>
      <c r="D48" s="86" t="n">
        <f aca="false">IFERROR(ROUNDUP(MAX(0,BYD!$G$35-D36)/GERACAO!$I$17*1000/D10,0),0)</f>
        <v>0</v>
      </c>
      <c r="E48" s="86" t="n">
        <f aca="false">IFERROR(ROUNDUP(MAX(0,BYD!$G$35-E36)/GERACAO!$I$17*1000/E10,0),0)</f>
        <v>1</v>
      </c>
      <c r="F48" s="86" t="n">
        <f aca="false">IFERROR(ROUNDUP(MAX(0,BYD!$G$35-F36)/GERACAO!$I$17*1000/F10,0),0)</f>
        <v>1</v>
      </c>
      <c r="G48" s="86" t="n">
        <f aca="false">IFERROR(ROUNDUP(MAX(0,BYD!$G$35-G36)/GERACAO!$I$17*1000/G10,0),0)</f>
        <v>2</v>
      </c>
      <c r="H48" s="86" t="n">
        <f aca="false">IFERROR(ROUNDUP(MAX(0,BYD!$G$35-H36)/GERACAO!$I$17*1000/H10,0),0)</f>
        <v>3</v>
      </c>
      <c r="I48" s="86" t="n">
        <f aca="false">IFERROR(ROUNDUP(MAX(0,BYD!$G$35-I36)/GERACAO!$I$17*1000/I10,0),0)</f>
        <v>0</v>
      </c>
      <c r="J48" s="86"/>
      <c r="K48" s="66"/>
    </row>
    <row r="49" customFormat="false" ht="15" hidden="false" customHeight="false" outlineLevel="0" collapsed="false">
      <c r="B49" s="69" t="s">
        <v>582</v>
      </c>
      <c r="C49" s="87" t="n">
        <f aca="false">IFERROR(ROUNDUP(BYD!$C$13*12/GERACAO!$I$17*1000/C10,0),0)</f>
        <v>4</v>
      </c>
      <c r="D49" s="87" t="n">
        <f aca="false">IFERROR(ROUNDUP(BYD!$C$13*12/GERACAO!$I$17*1000/D10,0),0)</f>
        <v>4</v>
      </c>
      <c r="E49" s="87" t="n">
        <f aca="false">IFERROR(ROUNDUP(BYD!$C$13*12/GERACAO!$I$17*1000/E10,0),0)</f>
        <v>4</v>
      </c>
      <c r="F49" s="87" t="n">
        <f aca="false">IFERROR(ROUNDUP(BYD!$C$13*12/GERACAO!$I$17*1000/F10,0),0)</f>
        <v>4</v>
      </c>
      <c r="G49" s="87" t="n">
        <f aca="false">IFERROR(ROUNDUP(BYD!$C$13*12/GERACAO!$I$17*1000/G10,0),0)</f>
        <v>4</v>
      </c>
      <c r="H49" s="87" t="n">
        <f aca="false">IFERROR(ROUNDUP(BYD!$C$13*12/GERACAO!$I$17*1000/H10,0),0)</f>
        <v>4</v>
      </c>
      <c r="I49" s="87" t="n">
        <f aca="false">IFERROR(ROUNDUP(BYD!$C$13*12/GERACAO!$I$17*1000/I10,0),0)</f>
        <v>4</v>
      </c>
      <c r="J49" s="87"/>
      <c r="K49" s="66" t="s">
        <v>583</v>
      </c>
    </row>
    <row r="51" customFormat="false" ht="15" hidden="false" customHeight="false" outlineLevel="0" collapsed="false">
      <c r="B51" s="7" t="s">
        <v>584</v>
      </c>
      <c r="C51" s="8"/>
      <c r="D51" s="8"/>
      <c r="E51" s="8"/>
      <c r="F51" s="8"/>
      <c r="G51" s="8"/>
      <c r="H51" s="8"/>
      <c r="I51" s="8"/>
      <c r="J51" s="8"/>
      <c r="K51" s="8"/>
    </row>
    <row r="52" customFormat="false" ht="15" hidden="false" customHeight="false" outlineLevel="0" collapsed="false">
      <c r="B52" s="64" t="s">
        <v>585</v>
      </c>
      <c r="C52" s="79" t="n">
        <f aca="false">CONTA!$C$54</f>
        <v>410.62787654321</v>
      </c>
      <c r="D52" s="79" t="n">
        <f aca="false">CONTA!$C$54</f>
        <v>410.62787654321</v>
      </c>
      <c r="E52" s="79" t="n">
        <f aca="false">CONTA!$C$54</f>
        <v>410.62787654321</v>
      </c>
      <c r="F52" s="79" t="n">
        <f aca="false">CONTA!$C$54</f>
        <v>410.62787654321</v>
      </c>
      <c r="G52" s="79" t="n">
        <f aca="false">CONTA!$C$54</f>
        <v>410.62787654321</v>
      </c>
      <c r="H52" s="79" t="n">
        <f aca="false">CONTA!$C$54</f>
        <v>410.62787654321</v>
      </c>
      <c r="I52" s="79" t="n">
        <f aca="false">CONTA!$C$54</f>
        <v>410.62787654321</v>
      </c>
      <c r="J52" s="79"/>
      <c r="K52" s="66" t="s">
        <v>586</v>
      </c>
    </row>
    <row r="53" customFormat="false" ht="15" hidden="false" customHeight="false" outlineLevel="0" collapsed="false">
      <c r="B53" s="64" t="s">
        <v>587</v>
      </c>
      <c r="C53" s="79" t="n">
        <f aca="false">ECONOMIA!C8/12</f>
        <v>710.553156093023</v>
      </c>
      <c r="D53" s="79" t="n">
        <f aca="false">ECONOMIA!D8/12</f>
        <v>710.553156093023</v>
      </c>
      <c r="E53" s="79" t="n">
        <f aca="false">ECONOMIA!E8/12</f>
        <v>710.553156093023</v>
      </c>
      <c r="F53" s="79" t="n">
        <f aca="false">ECONOMIA!F8/12</f>
        <v>710.553156093023</v>
      </c>
      <c r="G53" s="79" t="n">
        <f aca="false">ECONOMIA!G8/12</f>
        <v>710.553156093023</v>
      </c>
      <c r="H53" s="79" t="n">
        <f aca="false">ECONOMIA!H8/12</f>
        <v>710.553156093023</v>
      </c>
      <c r="I53" s="79" t="n">
        <f aca="false">ECONOMIA!I8/12</f>
        <v>710.553156093023</v>
      </c>
      <c r="J53" s="79"/>
      <c r="K53" s="66" t="s">
        <v>588</v>
      </c>
    </row>
    <row r="54" customFormat="false" ht="15" hidden="false" customHeight="false" outlineLevel="0" collapsed="false">
      <c r="B54" s="69" t="s">
        <v>589</v>
      </c>
      <c r="C54" s="88" t="n">
        <f aca="false">ECONOMIA!C19</f>
        <v>162.893279261767</v>
      </c>
      <c r="D54" s="88" t="n">
        <f aca="false">ECONOMIA!D19</f>
        <v>162.893279261767</v>
      </c>
      <c r="E54" s="88" t="n">
        <f aca="false">ECONOMIA!E19</f>
        <v>164.294054390772</v>
      </c>
      <c r="F54" s="88" t="n">
        <f aca="false">ECONOMIA!F19</f>
        <v>164.294054390772</v>
      </c>
      <c r="G54" s="88" t="n">
        <f aca="false">ECONOMIA!G19</f>
        <v>219.515548258055</v>
      </c>
      <c r="H54" s="88" t="n">
        <f aca="false">ECONOMIA!H19</f>
        <v>281.009977650472</v>
      </c>
      <c r="I54" s="88" t="n">
        <f aca="false">ECONOMIA!I19</f>
        <v>162.893279261767</v>
      </c>
      <c r="J54" s="88"/>
      <c r="K54" s="68" t="s">
        <v>590</v>
      </c>
    </row>
    <row r="55" customFormat="false" ht="15" hidden="false" customHeight="false" outlineLevel="0" collapsed="false">
      <c r="B55" s="64" t="s">
        <v>591</v>
      </c>
      <c r="C55" s="79" t="n">
        <f aca="false">ECONOMIA!C26</f>
        <v>6121.91852197507</v>
      </c>
      <c r="D55" s="79" t="n">
        <f aca="false">ECONOMIA!D26</f>
        <v>6121.91852197507</v>
      </c>
      <c r="E55" s="79" t="n">
        <f aca="false">ECONOMIA!E26</f>
        <v>6105.10922042702</v>
      </c>
      <c r="F55" s="79" t="n">
        <f aca="false">ECONOMIA!F26</f>
        <v>6105.10922042702</v>
      </c>
      <c r="G55" s="79" t="n">
        <f aca="false">ECONOMIA!G26</f>
        <v>5442.45129401962</v>
      </c>
      <c r="H55" s="79" t="n">
        <f aca="false">ECONOMIA!H26</f>
        <v>4704.51814131062</v>
      </c>
      <c r="I55" s="79" t="n">
        <f aca="false">ECONOMIA!I26</f>
        <v>6121.91852197507</v>
      </c>
      <c r="J55" s="79"/>
      <c r="K55" s="66"/>
    </row>
    <row r="56" customFormat="false" ht="15" hidden="false" customHeight="false" outlineLevel="0" collapsed="false">
      <c r="B56" s="69" t="s">
        <v>592</v>
      </c>
      <c r="C56" s="88" t="n">
        <f aca="false">C55/12</f>
        <v>510.159876831256</v>
      </c>
      <c r="D56" s="88" t="n">
        <f aca="false">D55/12</f>
        <v>510.159876831256</v>
      </c>
      <c r="E56" s="88" t="n">
        <f aca="false">E55/12</f>
        <v>508.759101702252</v>
      </c>
      <c r="F56" s="88" t="n">
        <f aca="false">F55/12</f>
        <v>508.759101702252</v>
      </c>
      <c r="G56" s="88" t="n">
        <f aca="false">G55/12</f>
        <v>453.537607834968</v>
      </c>
      <c r="H56" s="88" t="n">
        <f aca="false">H55/12</f>
        <v>392.043178442552</v>
      </c>
      <c r="I56" s="88" t="n">
        <f aca="false">I55/12</f>
        <v>510.159876831256</v>
      </c>
      <c r="J56" s="88"/>
      <c r="K56" s="66"/>
    </row>
    <row r="57" customFormat="false" ht="19.4" hidden="false" customHeight="false" outlineLevel="0" collapsed="false">
      <c r="B57" s="69" t="s">
        <v>593</v>
      </c>
      <c r="C57" s="89" t="n">
        <f aca="false">IFERROR(C31/C55,0)</f>
        <v>4.86754273076902</v>
      </c>
      <c r="D57" s="89" t="n">
        <f aca="false">IFERROR(D31/D55,0)</f>
        <v>4.71713236566947</v>
      </c>
      <c r="E57" s="89" t="n">
        <f aca="false">IFERROR(E31/E55,0)</f>
        <v>3.03358045389802</v>
      </c>
      <c r="F57" s="89" t="n">
        <f aca="false">IFERROR(F31/F55,0)</f>
        <v>3.19737768731264</v>
      </c>
      <c r="G57" s="89" t="n">
        <f aca="false">IFERROR(G31/G55,0)</f>
        <v>3.92266441106401</v>
      </c>
      <c r="H57" s="89" t="n">
        <f aca="false">IFERROR(H31/H55,0)</f>
        <v>3.1645408844895</v>
      </c>
      <c r="I57" s="89" t="n">
        <f aca="false">IFERROR(I31/I55,0)</f>
        <v>3.44345321231079</v>
      </c>
      <c r="J57" s="89"/>
      <c r="K57" s="66" t="s">
        <v>594</v>
      </c>
    </row>
    <row r="58" customFormat="false" ht="15" hidden="false" customHeight="false" outlineLevel="0" collapsed="false">
      <c r="B58" s="64" t="s">
        <v>595</v>
      </c>
      <c r="C58" s="90" t="n">
        <f aca="false">PROJECAO!E10</f>
        <v>34868.8793416317</v>
      </c>
      <c r="D58" s="90" t="n">
        <f aca="false">PROJECAO!H10</f>
        <v>34868.8793416317</v>
      </c>
      <c r="E58" s="90" t="n">
        <f aca="false">PROJECAO!K10</f>
        <v>34773.1378668975</v>
      </c>
      <c r="F58" s="90" t="n">
        <f aca="false">PROJECAO!N10</f>
        <v>34773.1378668975</v>
      </c>
      <c r="G58" s="90" t="n">
        <f aca="false">PROJECAO!Q10</f>
        <v>30998.8081044653</v>
      </c>
      <c r="H58" s="90" t="n">
        <f aca="false">PROJECAO!T10</f>
        <v>26795.7299400571</v>
      </c>
      <c r="I58" s="90" t="n">
        <f aca="false">PROJECAO!W10</f>
        <v>34868.8793416317</v>
      </c>
      <c r="J58" s="90"/>
      <c r="K58" s="66"/>
    </row>
    <row r="59" customFormat="false" ht="15" hidden="false" customHeight="false" outlineLevel="0" collapsed="false">
      <c r="B59" s="64" t="s">
        <v>596</v>
      </c>
      <c r="C59" s="90" t="n">
        <f aca="false">PROJECAO!E15</f>
        <v>82683.773630833</v>
      </c>
      <c r="D59" s="90" t="n">
        <f aca="false">PROJECAO!H15</f>
        <v>82683.773630833</v>
      </c>
      <c r="E59" s="90" t="n">
        <f aca="false">PROJECAO!K15</f>
        <v>82456.7440682698</v>
      </c>
      <c r="F59" s="90" t="n">
        <f aca="false">PROJECAO!N15</f>
        <v>82456.7440682698</v>
      </c>
      <c r="G59" s="90" t="n">
        <f aca="false">PROJECAO!Q15</f>
        <v>73506.7624922213</v>
      </c>
      <c r="H59" s="90" t="n">
        <f aca="false">PROJECAO!T15</f>
        <v>63540.0996667917</v>
      </c>
      <c r="I59" s="90" t="n">
        <f aca="false">PROJECAO!W15</f>
        <v>82683.773630833</v>
      </c>
      <c r="J59" s="90"/>
      <c r="K59" s="66"/>
    </row>
    <row r="60" customFormat="false" ht="15" hidden="false" customHeight="false" outlineLevel="0" collapsed="false">
      <c r="B60" s="64" t="s">
        <v>597</v>
      </c>
      <c r="C60" s="90" t="n">
        <f aca="false">PROJECAO!E25</f>
        <v>238162.405280052</v>
      </c>
      <c r="D60" s="90" t="n">
        <f aca="false">PROJECAO!H25</f>
        <v>238162.405280052</v>
      </c>
      <c r="E60" s="90" t="n">
        <f aca="false">PROJECAO!K25</f>
        <v>237508.469153103</v>
      </c>
      <c r="F60" s="90" t="n">
        <f aca="false">PROJECAO!N25</f>
        <v>237508.469153103</v>
      </c>
      <c r="G60" s="90" t="n">
        <f aca="false">PROJECAO!Q25</f>
        <v>211728.935324847</v>
      </c>
      <c r="H60" s="90" t="n">
        <f aca="false">PROJECAO!T25</f>
        <v>183020.952042449</v>
      </c>
      <c r="I60" s="90" t="n">
        <f aca="false">PROJECAO!W25</f>
        <v>238162.405280052</v>
      </c>
      <c r="J60" s="90"/>
      <c r="K60" s="66"/>
    </row>
    <row r="61" customFormat="false" ht="19.4" hidden="false" customHeight="false" outlineLevel="0" collapsed="false">
      <c r="B61" s="69" t="s">
        <v>598</v>
      </c>
      <c r="C61" s="91" t="n">
        <f aca="false">C60-C31</f>
        <v>208363.705280052</v>
      </c>
      <c r="D61" s="91" t="n">
        <f aca="false">D60-D31</f>
        <v>209284.505280052</v>
      </c>
      <c r="E61" s="91" t="n">
        <f aca="false">E60-E31</f>
        <v>218988.129153103</v>
      </c>
      <c r="F61" s="91" t="n">
        <f aca="false">F60-F31</f>
        <v>217988.129153103</v>
      </c>
      <c r="G61" s="91" t="n">
        <f aca="false">G60-G31</f>
        <v>190380.025324847</v>
      </c>
      <c r="H61" s="91" t="n">
        <f aca="false">H60-H31</f>
        <v>168133.312042449</v>
      </c>
      <c r="I61" s="91" t="n">
        <f aca="false">I60-I31</f>
        <v>217081.865280052</v>
      </c>
      <c r="J61" s="91"/>
      <c r="K61" s="66" t="s">
        <v>599</v>
      </c>
    </row>
    <row r="62" customFormat="false" ht="15" hidden="false" customHeight="false" outlineLevel="0" collapsed="false">
      <c r="B62" s="64" t="s">
        <v>600</v>
      </c>
      <c r="C62" s="84" t="n">
        <f aca="false">IFERROR(C61/C31,0)</f>
        <v>6.99237568350472</v>
      </c>
      <c r="D62" s="84" t="n">
        <f aca="false">IFERROR(D61/D31,0)</f>
        <v>7.24722037544461</v>
      </c>
      <c r="E62" s="84" t="n">
        <f aca="false">IFERROR(E61/E31,0)</f>
        <v>11.8241959463543</v>
      </c>
      <c r="F62" s="84" t="n">
        <f aca="false">IFERROR(F61/F31,0)</f>
        <v>11.1672301380561</v>
      </c>
      <c r="G62" s="84" t="n">
        <f aca="false">IFERROR(G61/G31,0)</f>
        <v>8.91755248042393</v>
      </c>
      <c r="H62" s="84" t="n">
        <f aca="false">IFERROR(H61/H31,0)</f>
        <v>11.2934831875602</v>
      </c>
      <c r="I62" s="84" t="n">
        <f aca="false">IFERROR(I61/I31,0)</f>
        <v>10.2977374052113</v>
      </c>
      <c r="J62" s="84"/>
      <c r="K62" s="66"/>
    </row>
    <row r="64" customFormat="false" ht="15" hidden="false" customHeight="false" outlineLevel="0" collapsed="false">
      <c r="B64" s="7" t="s">
        <v>601</v>
      </c>
      <c r="C64" s="8"/>
      <c r="D64" s="8"/>
      <c r="E64" s="8"/>
      <c r="F64" s="8"/>
      <c r="G64" s="8"/>
      <c r="H64" s="8"/>
      <c r="I64" s="8"/>
      <c r="J64" s="8"/>
      <c r="K64" s="8"/>
    </row>
    <row r="65" customFormat="false" ht="15" hidden="false" customHeight="false" outlineLevel="0" collapsed="false">
      <c r="B65" s="64" t="s">
        <v>602</v>
      </c>
      <c r="C65" s="75" t="n">
        <f aca="false">C14*1.35</f>
        <v>8.1</v>
      </c>
      <c r="D65" s="75" t="n">
        <f aca="false">D14*1.35</f>
        <v>8.1</v>
      </c>
      <c r="E65" s="75" t="n">
        <f aca="false">E14*1.35</f>
        <v>6.75</v>
      </c>
      <c r="F65" s="75" t="n">
        <f aca="false">F14*1.35</f>
        <v>6.75</v>
      </c>
      <c r="G65" s="75" t="n">
        <f aca="false">G14*1.35</f>
        <v>5.4</v>
      </c>
      <c r="H65" s="75" t="n">
        <f aca="false">H14*1.35</f>
        <v>4.05</v>
      </c>
      <c r="I65" s="75" t="n">
        <f aca="false">I14*1.35</f>
        <v>12.15</v>
      </c>
      <c r="J65" s="75"/>
      <c r="K65" s="66"/>
    </row>
    <row r="66" customFormat="false" ht="32.8" hidden="false" customHeight="false" outlineLevel="0" collapsed="false">
      <c r="B66" s="69" t="s">
        <v>603</v>
      </c>
      <c r="C66" s="86" t="n">
        <f aca="false">MAX(0,ROUNDDOWN((C65-C12)*1000/C10,0))</f>
        <v>1</v>
      </c>
      <c r="D66" s="86" t="n">
        <f aca="false">MAX(0,ROUNDDOWN((D65-D12)*1000/D10,0))</f>
        <v>1</v>
      </c>
      <c r="E66" s="86" t="n">
        <f aca="false">MAX(0,ROUNDDOWN((E65-E12)*1000/E10,0))</f>
        <v>0</v>
      </c>
      <c r="F66" s="86" t="n">
        <f aca="false">MAX(0,ROUNDDOWN((F65-F12)*1000/F10,0))</f>
        <v>0</v>
      </c>
      <c r="G66" s="86" t="n">
        <f aca="false">MAX(0,ROUNDDOWN((G65-G12)*1000/G10,0))</f>
        <v>0</v>
      </c>
      <c r="H66" s="86" t="n">
        <f aca="false">MAX(0,ROUNDDOWN((H65-H12)*1000/H10,0))</f>
        <v>0</v>
      </c>
      <c r="I66" s="86" t="n">
        <f aca="false">MAX(0,ROUNDDOWN((I65-I12)*1000/I10,0))</f>
        <v>8</v>
      </c>
      <c r="J66" s="86"/>
      <c r="K66" s="68" t="s">
        <v>604</v>
      </c>
    </row>
    <row r="67" customFormat="false" ht="15" hidden="false" customHeight="false" outlineLevel="0" collapsed="false">
      <c r="B67" s="64" t="s">
        <v>605</v>
      </c>
      <c r="C67" s="72" t="n">
        <f aca="false">C66*C10/1000*GERACAO!$I$17</f>
        <v>777.525431925</v>
      </c>
      <c r="D67" s="72" t="n">
        <f aca="false">D66*D10/1000*GERACAO!$I$17</f>
        <v>764.882741975</v>
      </c>
      <c r="E67" s="72" t="n">
        <f aca="false">E66*E10/1000*GERACAO!$I$17</f>
        <v>0</v>
      </c>
      <c r="F67" s="72" t="n">
        <f aca="false">F66*F10/1000*GERACAO!$I$17</f>
        <v>0</v>
      </c>
      <c r="G67" s="72" t="n">
        <f aca="false">G66*G10/1000*GERACAO!$I$17</f>
        <v>0</v>
      </c>
      <c r="H67" s="72" t="n">
        <f aca="false">H66*H10/1000*GERACAO!$I$17</f>
        <v>0</v>
      </c>
      <c r="I67" s="72" t="n">
        <f aca="false">I66*I10/1000*GERACAO!$I$17</f>
        <v>6574.198774</v>
      </c>
      <c r="J67" s="72"/>
      <c r="K67" s="66"/>
    </row>
    <row r="68" customFormat="false" ht="28.35" hidden="false" customHeight="false" outlineLevel="0" collapsed="false">
      <c r="B68" s="69" t="s">
        <v>606</v>
      </c>
      <c r="C68" s="92" t="str">
        <f aca="false">IF(C16&gt;1.35,"JA SOBRECARREGADO",IF(C16&lt;1.1,"SUBAPROVEITADO","OK"))</f>
        <v>OK</v>
      </c>
      <c r="D68" s="92" t="str">
        <f aca="false">IF(D16&gt;1.35,"JA SOBRECARREGADO",IF(D16&lt;1.1,"SUBAPROVEITADO","OK"))</f>
        <v>OK</v>
      </c>
      <c r="E68" s="92" t="str">
        <f aca="false">IF(E16&gt;1.35,"JA SOBRECARREGADO",IF(E16&lt;1.1,"SUBAPROVEITADO","OK"))</f>
        <v>OK</v>
      </c>
      <c r="F68" s="92" t="str">
        <f aca="false">IF(F16&gt;1.35,"JA SOBRECARREGADO",IF(F16&lt;1.1,"SUBAPROVEITADO","OK"))</f>
        <v>OK</v>
      </c>
      <c r="G68" s="92" t="str">
        <f aca="false">IF(G16&gt;1.35,"JA SOBRECARREGADO",IF(G16&lt;1.1,"SUBAPROVEITADO","OK"))</f>
        <v>OK</v>
      </c>
      <c r="H68" s="92" t="str">
        <f aca="false">IF(H16&gt;1.35,"JA SOBRECARREGADO",IF(H16&lt;1.1,"SUBAPROVEITADO","OK"))</f>
        <v>JA SOBRECARREGADO</v>
      </c>
      <c r="I68" s="92" t="str">
        <f aca="false">IF(I16&gt;1.35,"JA SOBRECARREGADO",IF(I16&lt;1.1,"SUBAPROVEITADO","OK"))</f>
        <v>SUBAPROVEITADO</v>
      </c>
      <c r="J68" s="92"/>
      <c r="K68" s="66" t="s">
        <v>607</v>
      </c>
    </row>
    <row r="70" customFormat="false" ht="15" hidden="false" customHeight="false" outlineLevel="0" collapsed="false">
      <c r="B70" s="7" t="s">
        <v>608</v>
      </c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false" outlineLevel="0" collapsed="false">
      <c r="B71" s="21" t="s">
        <v>609</v>
      </c>
      <c r="C71" s="35" t="n">
        <f aca="false">F26-E26</f>
        <v>1000</v>
      </c>
    </row>
    <row r="72" customFormat="false" ht="15" hidden="false" customHeight="false" outlineLevel="0" collapsed="false">
      <c r="B72" s="4" t="s">
        <v>610</v>
      </c>
      <c r="C72" s="29" t="n">
        <f aca="false">IFERROR(F57-E57,0)</f>
        <v>0.163797233414615</v>
      </c>
    </row>
    <row r="73" customFormat="false" ht="15" hidden="false" customHeight="false" outlineLevel="0" collapsed="false">
      <c r="B73" s="4" t="s">
        <v>611</v>
      </c>
      <c r="C73" s="93" t="n">
        <f aca="false">F61-E61</f>
        <v>-1000</v>
      </c>
    </row>
    <row r="74" customFormat="false" ht="15" hidden="false" customHeight="false" outlineLevel="0" collapsed="false">
      <c r="B74" s="5" t="s">
        <v>612</v>
      </c>
    </row>
    <row r="75" customFormat="false" ht="15" hidden="false" customHeight="false" outlineLevel="0" collapsed="false">
      <c r="B75" s="4" t="s">
        <v>613</v>
      </c>
    </row>
    <row r="76" customFormat="false" ht="15" hidden="false" customHeight="false" outlineLevel="0" collapsed="false">
      <c r="B76" s="4" t="s">
        <v>614</v>
      </c>
    </row>
    <row r="77" customFormat="false" ht="15" hidden="false" customHeight="false" outlineLevel="0" collapsed="false">
      <c r="B77" s="4" t="s">
        <v>615</v>
      </c>
    </row>
    <row r="78" customFormat="false" ht="15" hidden="false" customHeight="false" outlineLevel="0" collapsed="false">
      <c r="B78" s="4"/>
    </row>
    <row r="79" customFormat="false" ht="15" hidden="false" customHeight="false" outlineLevel="0" collapsed="false">
      <c r="B79" s="5" t="s">
        <v>616</v>
      </c>
    </row>
    <row r="80" customFormat="false" ht="15" hidden="false" customHeight="false" outlineLevel="0" collapsed="false">
      <c r="B80" s="4" t="s">
        <v>617</v>
      </c>
    </row>
    <row r="81" customFormat="false" ht="15" hidden="false" customHeight="false" outlineLevel="0" collapsed="false">
      <c r="B81" s="4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619</v>
      </c>
    </row>
    <row r="2" customFormat="false" ht="15" hidden="false" customHeight="false" outlineLevel="0" collapsed="false">
      <c r="A2" s="2" t="s">
        <v>620</v>
      </c>
    </row>
    <row r="4" customFormat="false" ht="49.5" hidden="false" customHeight="true" outlineLevel="0" collapsed="false">
      <c r="B4" s="17" t="s">
        <v>444</v>
      </c>
      <c r="C4" s="17" t="s">
        <v>621</v>
      </c>
      <c r="D4" s="17" t="s">
        <v>622</v>
      </c>
      <c r="E4" s="17" t="s">
        <v>623</v>
      </c>
      <c r="F4" s="17" t="s">
        <v>624</v>
      </c>
    </row>
    <row r="5" customFormat="false" ht="23.85" hidden="false" customHeight="false" outlineLevel="0" collapsed="false">
      <c r="B5" s="18" t="s">
        <v>625</v>
      </c>
      <c r="C5" s="51" t="s">
        <v>626</v>
      </c>
      <c r="D5" s="51" t="s">
        <v>627</v>
      </c>
      <c r="E5" s="51" t="s">
        <v>628</v>
      </c>
      <c r="F5" s="94" t="s">
        <v>629</v>
      </c>
    </row>
    <row r="6" customFormat="false" ht="23.85" hidden="false" customHeight="false" outlineLevel="0" collapsed="false">
      <c r="B6" s="18" t="s">
        <v>494</v>
      </c>
      <c r="C6" s="51" t="s">
        <v>630</v>
      </c>
      <c r="D6" s="51" t="s">
        <v>630</v>
      </c>
      <c r="E6" s="51" t="s">
        <v>631</v>
      </c>
      <c r="F6" s="94" t="s">
        <v>632</v>
      </c>
    </row>
    <row r="7" customFormat="false" ht="32.8" hidden="false" customHeight="false" outlineLevel="0" collapsed="false">
      <c r="B7" s="18" t="s">
        <v>633</v>
      </c>
      <c r="C7" s="51" t="s">
        <v>634</v>
      </c>
      <c r="D7" s="51" t="s">
        <v>634</v>
      </c>
      <c r="E7" s="51" t="s">
        <v>635</v>
      </c>
      <c r="F7" s="95" t="s">
        <v>636</v>
      </c>
    </row>
    <row r="8" customFormat="false" ht="23.85" hidden="false" customHeight="false" outlineLevel="0" collapsed="false">
      <c r="B8" s="18" t="s">
        <v>637</v>
      </c>
      <c r="C8" s="51" t="s">
        <v>638</v>
      </c>
      <c r="D8" s="51" t="s">
        <v>639</v>
      </c>
      <c r="E8" s="51" t="s">
        <v>640</v>
      </c>
      <c r="F8" s="94" t="s">
        <v>641</v>
      </c>
    </row>
    <row r="9" customFormat="false" ht="15" hidden="false" customHeight="false" outlineLevel="0" collapsed="false">
      <c r="B9" s="18" t="s">
        <v>642</v>
      </c>
      <c r="C9" s="51" t="s">
        <v>643</v>
      </c>
      <c r="D9" s="51" t="s">
        <v>643</v>
      </c>
      <c r="E9" s="51" t="s">
        <v>644</v>
      </c>
      <c r="F9" s="94" t="s">
        <v>645</v>
      </c>
    </row>
    <row r="10" customFormat="false" ht="15" hidden="false" customHeight="false" outlineLevel="0" collapsed="false">
      <c r="B10" s="18" t="s">
        <v>646</v>
      </c>
      <c r="C10" s="51" t="s">
        <v>647</v>
      </c>
      <c r="D10" s="51" t="s">
        <v>647</v>
      </c>
      <c r="E10" s="51" t="s">
        <v>648</v>
      </c>
      <c r="F10" s="94" t="s">
        <v>649</v>
      </c>
    </row>
    <row r="11" customFormat="false" ht="22.35" hidden="false" customHeight="false" outlineLevel="0" collapsed="false">
      <c r="B11" s="18" t="s">
        <v>650</v>
      </c>
      <c r="C11" s="51" t="s">
        <v>651</v>
      </c>
      <c r="D11" s="51" t="s">
        <v>652</v>
      </c>
      <c r="E11" s="51" t="s">
        <v>653</v>
      </c>
      <c r="F11" s="95" t="s">
        <v>654</v>
      </c>
    </row>
    <row r="12" customFormat="false" ht="23.85" hidden="false" customHeight="false" outlineLevel="0" collapsed="false">
      <c r="B12" s="18" t="s">
        <v>655</v>
      </c>
      <c r="C12" s="51" t="s">
        <v>656</v>
      </c>
      <c r="D12" s="51" t="s">
        <v>657</v>
      </c>
      <c r="E12" s="51" t="s">
        <v>658</v>
      </c>
      <c r="F12" s="94" t="s">
        <v>659</v>
      </c>
    </row>
    <row r="13" customFormat="false" ht="22.35" hidden="false" customHeight="false" outlineLevel="0" collapsed="false">
      <c r="B13" s="18" t="s">
        <v>660</v>
      </c>
      <c r="C13" s="51" t="s">
        <v>661</v>
      </c>
      <c r="D13" s="96" t="s">
        <v>662</v>
      </c>
      <c r="E13" s="51" t="s">
        <v>663</v>
      </c>
      <c r="F13" s="95" t="s">
        <v>664</v>
      </c>
    </row>
    <row r="14" customFormat="false" ht="15" hidden="false" customHeight="false" outlineLevel="0" collapsed="false">
      <c r="B14" s="18" t="s">
        <v>665</v>
      </c>
      <c r="C14" s="51" t="s">
        <v>666</v>
      </c>
      <c r="D14" s="51" t="s">
        <v>666</v>
      </c>
      <c r="E14" s="51" t="s">
        <v>667</v>
      </c>
      <c r="F14" s="94" t="s">
        <v>668</v>
      </c>
    </row>
    <row r="15" customFormat="false" ht="23.85" hidden="false" customHeight="false" outlineLevel="0" collapsed="false">
      <c r="B15" s="18" t="s">
        <v>669</v>
      </c>
      <c r="C15" s="96" t="s">
        <v>662</v>
      </c>
      <c r="D15" s="96" t="s">
        <v>662</v>
      </c>
      <c r="E15" s="51" t="s">
        <v>670</v>
      </c>
      <c r="F15" s="95" t="s">
        <v>671</v>
      </c>
    </row>
    <row r="16" customFormat="false" ht="15" hidden="false" customHeight="false" outlineLevel="0" collapsed="false">
      <c r="B16" s="18" t="s">
        <v>672</v>
      </c>
      <c r="C16" s="51" t="s">
        <v>673</v>
      </c>
      <c r="D16" s="51" t="s">
        <v>673</v>
      </c>
      <c r="E16" s="51" t="s">
        <v>674</v>
      </c>
      <c r="F16" s="94" t="s">
        <v>675</v>
      </c>
    </row>
    <row r="17" customFormat="false" ht="15" hidden="false" customHeight="false" outlineLevel="0" collapsed="false">
      <c r="B17" s="18" t="s">
        <v>676</v>
      </c>
      <c r="C17" s="96" t="s">
        <v>662</v>
      </c>
      <c r="D17" s="96" t="s">
        <v>662</v>
      </c>
      <c r="E17" s="51" t="s">
        <v>677</v>
      </c>
      <c r="F17" s="95" t="s">
        <v>678</v>
      </c>
    </row>
    <row r="18" customFormat="false" ht="23.85" hidden="false" customHeight="false" outlineLevel="0" collapsed="false">
      <c r="B18" s="18" t="s">
        <v>679</v>
      </c>
      <c r="C18" s="51" t="s">
        <v>680</v>
      </c>
      <c r="D18" s="96" t="s">
        <v>681</v>
      </c>
      <c r="E18" s="51" t="s">
        <v>682</v>
      </c>
      <c r="F18" s="95" t="s">
        <v>683</v>
      </c>
    </row>
    <row r="19" customFormat="false" ht="19.4" hidden="false" customHeight="false" outlineLevel="0" collapsed="false">
      <c r="B19" s="18" t="s">
        <v>684</v>
      </c>
      <c r="C19" s="51" t="s">
        <v>685</v>
      </c>
      <c r="D19" s="51" t="s">
        <v>686</v>
      </c>
      <c r="E19" s="51" t="s">
        <v>687</v>
      </c>
      <c r="F19" s="94" t="s">
        <v>688</v>
      </c>
    </row>
    <row r="20" customFormat="false" ht="19.4" hidden="false" customHeight="false" outlineLevel="0" collapsed="false">
      <c r="B20" s="18" t="s">
        <v>689</v>
      </c>
      <c r="C20" s="51" t="s">
        <v>690</v>
      </c>
      <c r="D20" s="51" t="s">
        <v>690</v>
      </c>
      <c r="E20" s="51" t="s">
        <v>690</v>
      </c>
      <c r="F20" s="94" t="s">
        <v>691</v>
      </c>
    </row>
    <row r="22" customFormat="false" ht="15" hidden="false" customHeight="false" outlineLevel="0" collapsed="false">
      <c r="B22" s="3" t="s">
        <v>692</v>
      </c>
    </row>
    <row r="23" customFormat="false" ht="15" hidden="false" customHeight="false" outlineLevel="0" collapsed="false">
      <c r="B23" s="17" t="s">
        <v>693</v>
      </c>
      <c r="C23" s="17" t="s">
        <v>694</v>
      </c>
      <c r="D23" s="17" t="s">
        <v>695</v>
      </c>
      <c r="E23" s="17" t="s">
        <v>696</v>
      </c>
    </row>
    <row r="24" customFormat="false" ht="15" hidden="false" customHeight="false" outlineLevel="0" collapsed="false">
      <c r="B24" s="4" t="s">
        <v>697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698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699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700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701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702</v>
      </c>
      <c r="C30" s="44" t="str">
        <f aca="false">COMPARATIVO!C11</f>
        <v>JA Solar bifacial N-type</v>
      </c>
      <c r="D30" s="44" t="str">
        <f aca="false">COMPARATIVO!D11</f>
        <v>Astronergy bifacial N-type</v>
      </c>
      <c r="E30" s="44" t="str">
        <f aca="false">COMPARATIVO!G11</f>
        <v>Maxeon bifacial PERC</v>
      </c>
    </row>
    <row r="31" customFormat="false" ht="15" hidden="false" customHeight="false" outlineLevel="0" collapsed="false">
      <c r="B31" s="21" t="s">
        <v>703</v>
      </c>
      <c r="C31" s="97" t="n">
        <f aca="false">IFERROR(C28/(C30*1000),0)</f>
        <v>0</v>
      </c>
      <c r="D31" s="97" t="n">
        <f aca="false">IFERROR(D28/(D30*1000),0)</f>
        <v>0</v>
      </c>
      <c r="E31" s="97" t="n">
        <f aca="false">IFERROR(E28/(E30*1000),0)</f>
        <v>0</v>
      </c>
    </row>
    <row r="33" customFormat="false" ht="15" hidden="false" customHeight="false" outlineLevel="0" collapsed="false">
      <c r="B33" s="4" t="s">
        <v>704</v>
      </c>
      <c r="C33" s="4" t="s">
        <v>705</v>
      </c>
    </row>
    <row r="34" customFormat="false" ht="15" hidden="false" customHeight="false" outlineLevel="0" collapsed="false">
      <c r="B34" s="21" t="s">
        <v>706</v>
      </c>
      <c r="C34" s="98" t="n">
        <f aca="false">IFERROR(7690/E28,0)</f>
        <v>0.689135408386661</v>
      </c>
      <c r="D34" s="2" t="s">
        <v>707</v>
      </c>
    </row>
    <row r="35" customFormat="false" ht="15" hidden="false" customHeight="false" outlineLevel="0" collapsed="false">
      <c r="B35" s="21" t="s">
        <v>708</v>
      </c>
      <c r="C35" s="23" t="n">
        <f aca="false">C28+790+6900/10*12</f>
        <v>27298.7</v>
      </c>
      <c r="D35" s="2" t="s">
        <v>709</v>
      </c>
    </row>
    <row r="37" customFormat="false" ht="15" hidden="false" customHeight="false" outlineLevel="0" collapsed="false">
      <c r="B37" s="3" t="s">
        <v>710</v>
      </c>
    </row>
    <row r="38" customFormat="false" ht="15" hidden="false" customHeight="false" outlineLevel="0" collapsed="false">
      <c r="B38" s="4" t="s">
        <v>711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712</v>
      </c>
      <c r="C39" s="12" t="n">
        <f aca="false">COMPARATIVO!C28-COMPARATIVO!D28</f>
        <v>0</v>
      </c>
    </row>
    <row r="40" customFormat="false" ht="15" hidden="false" customHeight="false" outlineLevel="0" collapsed="false">
      <c r="B40" s="4" t="s">
        <v>713</v>
      </c>
      <c r="C40" s="15" t="n">
        <f aca="false">C39*ENTRADAS!C18</f>
        <v>0</v>
      </c>
    </row>
    <row r="41" customFormat="false" ht="15" hidden="false" customHeight="false" outlineLevel="0" collapsed="false">
      <c r="B41" s="21" t="s">
        <v>714</v>
      </c>
      <c r="C41" s="99" t="n">
        <f aca="false">IFERROR(C38/C40,0)</f>
        <v>0</v>
      </c>
      <c r="D41" s="2" t="s">
        <v>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0" min="3" style="0" width="15"/>
    <col collapsed="false" customWidth="true" hidden="false" outlineLevel="0" max="11" min="11" style="0" width="56"/>
  </cols>
  <sheetData>
    <row r="1" customFormat="false" ht="17.35" hidden="false" customHeight="false" outlineLevel="0" collapsed="false">
      <c r="A1" s="1" t="s">
        <v>716</v>
      </c>
    </row>
    <row r="2" customFormat="false" ht="15" hidden="false" customHeight="false" outlineLevel="0" collapsed="false">
      <c r="A2" s="2" t="s">
        <v>717</v>
      </c>
    </row>
    <row r="4" customFormat="false" ht="33.75" hidden="false" customHeight="true" outlineLevel="0" collapsed="false">
      <c r="B4" s="17" t="s">
        <v>718</v>
      </c>
      <c r="C4" s="17" t="s">
        <v>719</v>
      </c>
      <c r="D4" s="17" t="s">
        <v>720</v>
      </c>
      <c r="E4" s="17" t="s">
        <v>721</v>
      </c>
      <c r="F4" s="17" t="s">
        <v>722</v>
      </c>
      <c r="G4" s="17" t="s">
        <v>723</v>
      </c>
      <c r="H4" s="17" t="s">
        <v>724</v>
      </c>
      <c r="I4" s="17" t="s">
        <v>725</v>
      </c>
      <c r="J4" s="17" t="s">
        <v>726</v>
      </c>
      <c r="K4" s="17" t="s">
        <v>727</v>
      </c>
    </row>
    <row r="5" customFormat="false" ht="15" hidden="false" customHeight="false" outlineLevel="0" collapsed="false">
      <c r="B5" s="4" t="s">
        <v>728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36" t="n">
        <f aca="false">BYD!$G$35</f>
        <v>8099.42325581395</v>
      </c>
      <c r="J5" s="100"/>
      <c r="K5" s="66" t="s">
        <v>729</v>
      </c>
    </row>
    <row r="6" customFormat="false" ht="15" hidden="false" customHeight="false" outlineLevel="0" collapsed="false">
      <c r="B6" s="4" t="s">
        <v>730</v>
      </c>
      <c r="C6" s="36" t="n">
        <f aca="false">COMPARATIVO!C36</f>
        <v>9330.3051831</v>
      </c>
      <c r="D6" s="36" t="n">
        <f aca="false">COMPARATIVO!D36</f>
        <v>9178.5929037</v>
      </c>
      <c r="E6" s="36" t="n">
        <f aca="false">COMPARATIVO!E36</f>
        <v>7838.467769</v>
      </c>
      <c r="F6" s="36" t="n">
        <f aca="false">COMPARATIVO!F36</f>
        <v>7838.467769</v>
      </c>
      <c r="G6" s="36" t="n">
        <f aca="false">COMPARATIVO!G36</f>
        <v>6763.83912325</v>
      </c>
      <c r="H6" s="36" t="n">
        <f aca="false">COMPARATIVO!H36</f>
        <v>5916.7788966</v>
      </c>
      <c r="I6" s="36" t="n">
        <f aca="false">COMPARATIVO!I36</f>
        <v>8217.7484675</v>
      </c>
      <c r="J6" s="100"/>
      <c r="K6" s="66" t="s">
        <v>731</v>
      </c>
    </row>
    <row r="7" customFormat="false" ht="15" hidden="false" customHeight="false" outlineLevel="0" collapsed="false">
      <c r="B7" s="4" t="s">
        <v>732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1" t="n">
        <f aca="false">ENTRADAS!$C$18</f>
        <v>1.02147</v>
      </c>
      <c r="J7" s="100"/>
      <c r="K7" s="66" t="s">
        <v>733</v>
      </c>
    </row>
    <row r="8" customFormat="false" ht="15" hidden="false" customHeight="false" outlineLevel="0" collapsed="false">
      <c r="B8" s="21" t="s">
        <v>734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2" t="n">
        <f aca="false">I5*I7+ENTRADAS!$C$26*12</f>
        <v>8526.63787311628</v>
      </c>
      <c r="J8" s="100"/>
      <c r="K8" s="66" t="s">
        <v>735</v>
      </c>
    </row>
    <row r="9" customFormat="false" ht="15" hidden="false" customHeight="false" outlineLevel="0" collapsed="false">
      <c r="B9" s="4" t="s">
        <v>736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36" t="n">
        <f aca="false">MIN(I5,I6)*ENTRADAS!$C$37</f>
        <v>2429.82697674419</v>
      </c>
      <c r="J9" s="100"/>
      <c r="K9" s="66" t="s">
        <v>737</v>
      </c>
    </row>
    <row r="10" customFormat="false" ht="15" hidden="false" customHeight="false" outlineLevel="0" collapsed="false">
      <c r="B10" s="4" t="s">
        <v>738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36" t="n">
        <f aca="false">I6-I9</f>
        <v>5787.92149075582</v>
      </c>
      <c r="J10" s="100"/>
      <c r="K10" s="66" t="s">
        <v>739</v>
      </c>
    </row>
    <row r="11" customFormat="false" ht="15" hidden="false" customHeight="false" outlineLevel="0" collapsed="false">
      <c r="B11" s="4" t="s">
        <v>740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36" t="n">
        <f aca="false">ENTRADAS!$C$17*12</f>
        <v>600</v>
      </c>
      <c r="J11" s="100"/>
      <c r="K11" s="66" t="s">
        <v>741</v>
      </c>
    </row>
    <row r="12" customFormat="false" ht="15" hidden="false" customHeight="false" outlineLevel="0" collapsed="false">
      <c r="B12" s="4" t="s">
        <v>742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36" t="n">
        <f aca="false">MAX(0,MIN(I10,I5-I9-I11))</f>
        <v>5069.59627906977</v>
      </c>
      <c r="J12" s="100"/>
      <c r="K12" s="66" t="s">
        <v>743</v>
      </c>
    </row>
    <row r="13" customFormat="false" ht="15" hidden="false" customHeight="false" outlineLevel="0" collapsed="false">
      <c r="B13" s="4" t="s">
        <v>744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36" t="n">
        <f aca="false">I10-I12</f>
        <v>718.325211686048</v>
      </c>
      <c r="J13" s="100"/>
      <c r="K13" s="66" t="s">
        <v>745</v>
      </c>
    </row>
    <row r="14" customFormat="false" ht="15" hidden="false" customHeight="false" outlineLevel="0" collapsed="false">
      <c r="B14" s="4" t="s">
        <v>746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36" t="n">
        <f aca="false">MAX(I11,I5-I9-I12)</f>
        <v>600</v>
      </c>
      <c r="J14" s="100"/>
      <c r="K14" s="66" t="s">
        <v>747</v>
      </c>
    </row>
    <row r="15" customFormat="false" ht="15" hidden="false" customHeight="false" outlineLevel="0" collapsed="false">
      <c r="B15" s="4" t="s">
        <v>748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1" t="n">
        <f aca="false">I14*I7</f>
        <v>612.882</v>
      </c>
      <c r="J15" s="100"/>
      <c r="K15" s="66"/>
    </row>
    <row r="16" customFormat="false" ht="15" hidden="false" customHeight="false" outlineLevel="0" collapsed="false">
      <c r="B16" s="4" t="s">
        <v>749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1" t="n">
        <f aca="false">I12*ENTRADAS!$C$25</f>
        <v>1088.51735114121</v>
      </c>
      <c r="J16" s="100"/>
      <c r="K16" s="66" t="s">
        <v>750</v>
      </c>
    </row>
    <row r="17" customFormat="false" ht="15" hidden="false" customHeight="false" outlineLevel="0" collapsed="false">
      <c r="B17" s="4" t="s">
        <v>751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1" t="n">
        <f aca="false">ENTRADAS!$C$26*12</f>
        <v>253.32</v>
      </c>
      <c r="J17" s="100"/>
      <c r="K17" s="66" t="s">
        <v>752</v>
      </c>
    </row>
    <row r="18" customFormat="false" ht="15" hidden="false" customHeight="false" outlineLevel="0" collapsed="false">
      <c r="B18" s="21" t="s">
        <v>753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47" t="n">
        <f aca="false">I15+I16+I17</f>
        <v>1954.71935114121</v>
      </c>
      <c r="J18" s="100"/>
      <c r="K18" s="66" t="s">
        <v>754</v>
      </c>
    </row>
    <row r="19" customFormat="false" ht="15" hidden="false" customHeight="false" outlineLevel="0" collapsed="false">
      <c r="B19" s="21" t="s">
        <v>755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47" t="n">
        <f aca="false">I18/12</f>
        <v>162.893279261767</v>
      </c>
      <c r="J19" s="100"/>
      <c r="K19" s="66" t="s">
        <v>756</v>
      </c>
    </row>
    <row r="20" customFormat="false" ht="15" hidden="false" customHeight="false" outlineLevel="0" collapsed="false">
      <c r="B20" s="4" t="s">
        <v>757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37" t="n">
        <f aca="false">IFERROR(1-I18/I8,0)</f>
        <v>0.770751452069489</v>
      </c>
      <c r="J20" s="100"/>
      <c r="K20" s="66"/>
    </row>
    <row r="21" customFormat="false" ht="15" hidden="false" customHeight="false" outlineLevel="0" collapsed="false">
      <c r="B21" s="4" t="s">
        <v>758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1" t="n">
        <f aca="false">I8-I18</f>
        <v>6571.91852197507</v>
      </c>
      <c r="J21" s="100"/>
      <c r="K21" s="66"/>
    </row>
    <row r="22" customFormat="false" ht="15" hidden="false" customHeight="false" outlineLevel="0" collapsed="false">
      <c r="B22" s="4" t="s">
        <v>759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1" t="n">
        <f aca="false">ENTRADAS!$C$35</f>
        <v>300</v>
      </c>
      <c r="J22" s="100"/>
      <c r="K22" s="66" t="s">
        <v>760</v>
      </c>
    </row>
    <row r="23" customFormat="false" ht="15" hidden="false" customHeight="false" outlineLevel="0" collapsed="false">
      <c r="B23" s="4" t="s">
        <v>761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1" t="n">
        <f aca="false">ENTRADAS!$C$36</f>
        <v>150</v>
      </c>
      <c r="J23" s="100"/>
      <c r="K23" s="66" t="s">
        <v>762</v>
      </c>
    </row>
    <row r="24" customFormat="false" ht="15" hidden="false" customHeight="false" outlineLevel="0" collapsed="false">
      <c r="B24" s="4" t="s">
        <v>763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1" t="n">
        <f aca="false">0</f>
        <v>0</v>
      </c>
      <c r="J24" s="100"/>
      <c r="K24" s="66" t="s">
        <v>764</v>
      </c>
    </row>
    <row r="25" customFormat="false" ht="15" hidden="false" customHeight="false" outlineLevel="0" collapsed="false">
      <c r="B25" s="4" t="s">
        <v>765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1" t="n">
        <f aca="false">I22+I23</f>
        <v>450</v>
      </c>
      <c r="J25" s="100"/>
      <c r="K25" s="66"/>
    </row>
    <row r="26" customFormat="false" ht="15" hidden="false" customHeight="false" outlineLevel="0" collapsed="false">
      <c r="B26" s="21" t="s">
        <v>766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3" t="n">
        <f aca="false">I21-I25</f>
        <v>6121.91852197507</v>
      </c>
      <c r="J26" s="100"/>
      <c r="K26" s="66" t="s">
        <v>767</v>
      </c>
    </row>
    <row r="28" customFormat="false" ht="15" hidden="false" customHeight="false" outlineLevel="0" collapsed="false">
      <c r="B28" s="7" t="s">
        <v>768</v>
      </c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B29" s="4" t="s">
        <v>769</v>
      </c>
      <c r="C29" s="12" t="n">
        <f aca="false">BYD!$F$33*12</f>
        <v>4576</v>
      </c>
      <c r="K29" s="2" t="s">
        <v>770</v>
      </c>
    </row>
    <row r="30" customFormat="false" ht="15" hidden="false" customHeight="false" outlineLevel="0" collapsed="false">
      <c r="B30" s="4" t="s">
        <v>771</v>
      </c>
      <c r="C30" s="12" t="n">
        <f aca="false">BYD!$F$34*12</f>
        <v>7042.97674418605</v>
      </c>
      <c r="K30" s="2" t="s">
        <v>772</v>
      </c>
    </row>
    <row r="31" customFormat="false" ht="15" hidden="false" customHeight="false" outlineLevel="0" collapsed="false">
      <c r="B31" s="4" t="s">
        <v>773</v>
      </c>
      <c r="C31" s="12" t="n">
        <f aca="false">C30-C29</f>
        <v>2466.97674418605</v>
      </c>
      <c r="K31" s="2" t="s">
        <v>774</v>
      </c>
    </row>
    <row r="32" customFormat="false" ht="15" hidden="false" customHeight="false" outlineLevel="0" collapsed="false">
      <c r="B32" s="4" t="s">
        <v>775</v>
      </c>
      <c r="C32" s="30" t="n">
        <f aca="false">IFERROR(C30/C29-1,0)</f>
        <v>0.539112050739958</v>
      </c>
      <c r="K32" s="2" t="s">
        <v>776</v>
      </c>
    </row>
    <row r="33" customFormat="false" ht="15" hidden="false" customHeight="false" outlineLevel="0" collapsed="false">
      <c r="B33" s="4" t="s">
        <v>777</v>
      </c>
      <c r="C33" s="15" t="n">
        <f aca="false">C29*ENTRADAS!C18+ENTRADAS!C26*12</f>
        <v>4927.56672</v>
      </c>
      <c r="K33" s="2" t="s">
        <v>778</v>
      </c>
    </row>
    <row r="34" customFormat="false" ht="15" hidden="false" customHeight="false" outlineLevel="0" collapsed="false">
      <c r="B34" s="4" t="s">
        <v>779</v>
      </c>
      <c r="C34" s="15" t="n">
        <f aca="false">C30*ENTRADAS!C18+ENTRADAS!C26*12</f>
        <v>7447.50945488372</v>
      </c>
      <c r="K34" s="2" t="s">
        <v>780</v>
      </c>
    </row>
    <row r="35" customFormat="false" ht="15" hidden="false" customHeight="false" outlineLevel="0" collapsed="false">
      <c r="B35" s="4" t="s">
        <v>781</v>
      </c>
      <c r="C35" s="15" t="n">
        <f aca="false">C31*ENTRADAS!C18</f>
        <v>2519.94273488372</v>
      </c>
      <c r="K35" s="2" t="s">
        <v>782</v>
      </c>
    </row>
    <row r="36" customFormat="false" ht="15" hidden="false" customHeight="false" outlineLevel="0" collapsed="false">
      <c r="B36" s="4" t="s">
        <v>783</v>
      </c>
      <c r="C36" s="15" t="n">
        <f aca="false">C31*ENTRADAS!C25</f>
        <v>529.696418232558</v>
      </c>
      <c r="K36" s="2" t="s">
        <v>784</v>
      </c>
    </row>
    <row r="37" customFormat="false" ht="15" hidden="false" customHeight="false" outlineLevel="0" collapsed="false">
      <c r="B37" s="21" t="s">
        <v>785</v>
      </c>
      <c r="C37" s="23" t="n">
        <f aca="false">C35-C36</f>
        <v>1990.24631665116</v>
      </c>
      <c r="K37" s="2" t="s">
        <v>786</v>
      </c>
    </row>
    <row r="38" customFormat="false" ht="15" hidden="false" customHeight="false" outlineLevel="0" collapsed="false">
      <c r="B38" s="4" t="s">
        <v>787</v>
      </c>
      <c r="C38" s="12" t="n">
        <f aca="false">IFERROR(ROUNDUP(C31/GERACAO!I17*1000/615,0),0)</f>
        <v>4</v>
      </c>
      <c r="K38" s="2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24" min="4" style="0" width="14"/>
  </cols>
  <sheetData>
    <row r="1" customFormat="false" ht="17.35" hidden="false" customHeight="false" outlineLevel="0" collapsed="false">
      <c r="A1" s="1" t="s">
        <v>789</v>
      </c>
    </row>
    <row r="2" customFormat="false" ht="15" hidden="false" customHeight="false" outlineLevel="0" collapsed="false">
      <c r="A2" s="2" t="s">
        <v>790</v>
      </c>
    </row>
    <row r="4" customFormat="false" ht="45.75" hidden="false" customHeight="true" outlineLevel="0" collapsed="false">
      <c r="B4" s="17" t="s">
        <v>791</v>
      </c>
      <c r="C4" s="17" t="s">
        <v>792</v>
      </c>
      <c r="D4" s="17" t="s">
        <v>793</v>
      </c>
      <c r="E4" s="17" t="s">
        <v>794</v>
      </c>
      <c r="F4" s="17" t="s">
        <v>795</v>
      </c>
      <c r="G4" s="17" t="s">
        <v>796</v>
      </c>
      <c r="H4" s="17" t="s">
        <v>797</v>
      </c>
      <c r="I4" s="17" t="s">
        <v>798</v>
      </c>
      <c r="J4" s="17" t="s">
        <v>799</v>
      </c>
      <c r="K4" s="17" t="s">
        <v>800</v>
      </c>
      <c r="L4" s="17" t="s">
        <v>801</v>
      </c>
      <c r="M4" s="17" t="s">
        <v>802</v>
      </c>
      <c r="N4" s="17" t="s">
        <v>803</v>
      </c>
      <c r="O4" s="17" t="s">
        <v>804</v>
      </c>
      <c r="P4" s="17" t="s">
        <v>805</v>
      </c>
      <c r="Q4" s="17" t="s">
        <v>806</v>
      </c>
      <c r="R4" s="17" t="s">
        <v>807</v>
      </c>
      <c r="S4" s="17" t="s">
        <v>808</v>
      </c>
      <c r="T4" s="17" t="s">
        <v>809</v>
      </c>
      <c r="U4" s="17" t="s">
        <v>810</v>
      </c>
      <c r="V4" s="17" t="s">
        <v>811</v>
      </c>
      <c r="W4" s="17" t="s">
        <v>812</v>
      </c>
      <c r="X4" s="17" t="s">
        <v>813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E6-COMPARATIVO!C$31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H6-COMPARATIVO!D$31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K6-COMPARATIVO!E$31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N6-COMPARATIVO!F$31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Q6-COMPARATIVO!G$31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T6-COMPARATIVO!H$31</f>
        <v>-10183.1218586894</v>
      </c>
      <c r="V6" s="105" t="n">
        <f aca="false">ECONOMIA!I$26*C6/$C$6*(1+ENTRADAS!$C$27)^(1-1)</f>
        <v>6121.91852197507</v>
      </c>
      <c r="W6" s="105" t="n">
        <f aca="false">V6</f>
        <v>6121.91852197507</v>
      </c>
      <c r="X6" s="105" t="n">
        <f aca="false">W6-COMPARATIVO!I$31</f>
        <v>-14958.6214780249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E7-COMPARATIVO!C$31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H7-COMPARATIVO!D$31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K7-COMPARATIVO!E$31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N7-COMPARATIVO!F$31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Q7-COMPARATIVO!G$31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T7-COMPARATIVO!H$31</f>
        <v>-5171.93970233743</v>
      </c>
      <c r="V7" s="105" t="n">
        <f aca="false">ECONOMIA!I$26*C7/$C$6*(1+ENTRADAS!$C$27)^(2-1)</f>
        <v>6520.97578083002</v>
      </c>
      <c r="W7" s="105" t="n">
        <f aca="false">W6+V7</f>
        <v>12642.8943028051</v>
      </c>
      <c r="X7" s="105" t="n">
        <f aca="false">W7-COMPARATIVO!I$31</f>
        <v>-8437.64569719492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E8-COMPARATIVO!C$31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H8-COMPARATIVO!D$31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K8-COMPARATIVO!E$31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N8-COMPARATIVO!F$31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Q8-COMPARATIVO!G$31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T8-COMPARATIVO!H$31</f>
        <v>165.89636287633</v>
      </c>
      <c r="V8" s="105" t="n">
        <f aca="false">ECONOMIA!I$26*C8/$C$6*(1+ENTRADAS!$C$27)^(3-1)</f>
        <v>6946.04558710342</v>
      </c>
      <c r="W8" s="105" t="n">
        <f aca="false">W7+V8</f>
        <v>19588.9398899085</v>
      </c>
      <c r="X8" s="105" t="n">
        <f aca="false">W8-COMPARATIVO!I$31</f>
        <v>-1491.60011009149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E9-COMPARATIVO!C$31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H9-COMPARATIVO!D$31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K9-COMPARATIVO!E$31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N9-COMPARATIVO!F$31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Q9-COMPARATIVO!G$31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T9-COMPARATIVO!H$31</f>
        <v>5851.67927200105</v>
      </c>
      <c r="V9" s="105" t="n">
        <f aca="false">ECONOMIA!I$26*C9/$C$6*(1+ENTRADAS!$C$27)^(4-1)</f>
        <v>7398.82356869876</v>
      </c>
      <c r="W9" s="105" t="n">
        <f aca="false">W8+V9</f>
        <v>26987.7634586073</v>
      </c>
      <c r="X9" s="105" t="n">
        <f aca="false">W9-COMPARATIVO!I$31</f>
        <v>5907.22345860726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E10-COMPARATIVO!C$31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H10-COMPARATIVO!D$31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K10-COMPARATIVO!E$31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N10-COMPARATIVO!F$31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Q10-COMPARATIVO!G$31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T10-COMPARATIVO!H$31</f>
        <v>11908.0899400571</v>
      </c>
      <c r="V10" s="108" t="n">
        <f aca="false">ECONOMIA!I$26*C10/$C$6*(1+ENTRADAS!$C$27)^(5-1)</f>
        <v>7881.11588302439</v>
      </c>
      <c r="W10" s="108" t="n">
        <f aca="false">W9+V10</f>
        <v>34868.8793416317</v>
      </c>
      <c r="X10" s="108" t="n">
        <f aca="false">W10-COMPARATIVO!I$31</f>
        <v>13788.3393416317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E11-COMPARATIVO!C$31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H11-COMPARATIVO!D$31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K11-COMPARATIVO!E$31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N11-COMPARATIVO!F$31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Q11-COMPARATIVO!G$31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T11-COMPARATIVO!H$31</f>
        <v>18359.2877375103</v>
      </c>
      <c r="V11" s="105" t="n">
        <f aca="false">ECONOMIA!I$26*C11/$C$6*(1+ENTRADAS!$C$27)^(6-1)</f>
        <v>8394.84642185933</v>
      </c>
      <c r="W11" s="105" t="n">
        <f aca="false">W10+V11</f>
        <v>43263.725763491</v>
      </c>
      <c r="X11" s="105" t="n">
        <f aca="false">W11-COMPARATIVO!I$31</f>
        <v>22183.185763491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E12-COMPARATIVO!C$31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H12-COMPARATIVO!D$31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K12-COMPARATIVO!E$31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N12-COMPARATIVO!F$31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Q12-COMPARATIVO!G$31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T12-COMPARATIVO!H$31</f>
        <v>25231.0068633905</v>
      </c>
      <c r="V12" s="105" t="n">
        <f aca="false">ECONOMIA!I$26*C12/$C$6*(1+ENTRADAS!$C$27)^(7-1)</f>
        <v>8942.06448586824</v>
      </c>
      <c r="W12" s="105" t="n">
        <f aca="false">W11+V12</f>
        <v>52205.7902493592</v>
      </c>
      <c r="X12" s="105" t="n">
        <f aca="false">W12-COMPARATIVO!I$31</f>
        <v>31125.2502493592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E13-COMPARATIVO!C$31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H13-COMPARATIVO!D$31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K13-COMPARATIVO!E$31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N13-COMPARATIVO!F$31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Q13-COMPARATIVO!G$31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T13-COMPARATIVO!H$31</f>
        <v>32550.6590004913</v>
      </c>
      <c r="V13" s="105" t="n">
        <f aca="false">ECONOMIA!I$26*C13/$C$6*(1+ENTRADAS!$C$27)^(8-1)</f>
        <v>9524.95295937956</v>
      </c>
      <c r="W13" s="105" t="n">
        <f aca="false">W12+V13</f>
        <v>61730.7432087388</v>
      </c>
      <c r="X13" s="105" t="n">
        <f aca="false">W13-COMPARATIVO!I$31</f>
        <v>40650.2032087388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E14-COMPARATIVO!C$31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H14-COMPARATIVO!D$31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K14-COMPARATIVO!E$31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N14-COMPARATIVO!F$31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Q14-COMPARATIVO!G$31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T14-COMPARATIVO!H$31</f>
        <v>40347.4426621489</v>
      </c>
      <c r="V14" s="105" t="n">
        <f aca="false">ECONOMIA!I$26*C14/$C$6*(1+ENTRADAS!$C$27)^(9-1)</f>
        <v>10145.8370180367</v>
      </c>
      <c r="W14" s="105" t="n">
        <f aca="false">W13+V14</f>
        <v>71876.5802267755</v>
      </c>
      <c r="X14" s="105" t="n">
        <f aca="false">W14-COMPARATIVO!I$31</f>
        <v>50796.0402267755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E15-COMPARATIVO!C$31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H15-COMPARATIVO!D$31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K15-COMPARATIVO!E$31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N15-COMPARATIVO!F$31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Q15-COMPARATIVO!G$31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T15-COMPARATIVO!H$31</f>
        <v>48652.4596667917</v>
      </c>
      <c r="V15" s="108" t="n">
        <f aca="false">ECONOMIA!I$26*C15/$C$6*(1+ENTRADAS!$C$27)^(10-1)</f>
        <v>10807.1934040574</v>
      </c>
      <c r="W15" s="108" t="n">
        <f aca="false">W14+V15</f>
        <v>82683.773630833</v>
      </c>
      <c r="X15" s="108" t="n">
        <f aca="false">W15-COMPARATIVO!I$31</f>
        <v>61603.233630833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E16-COMPARATIVO!C$31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H16-COMPARATIVO!D$31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K16-COMPARATIVO!E$31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N16-COMPARATIVO!F$31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Q16-COMPARATIVO!G$31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T16-COMPARATIVO!H$31</f>
        <v>57498.8392048822</v>
      </c>
      <c r="V16" s="105" t="n">
        <f aca="false">ECONOMIA!I$26*C16/$C$6*(1+ENTRADAS!$C$27)^(11-1)</f>
        <v>11511.6603061009</v>
      </c>
      <c r="W16" s="105" t="n">
        <f aca="false">W15+V16</f>
        <v>94195.4339369339</v>
      </c>
      <c r="X16" s="105" t="n">
        <f aca="false">W16-COMPARATIVO!I$31</f>
        <v>73114.8939369339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E17-COMPARATIVO!C$31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H17-COMPARATIVO!D$31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K17-COMPARATIVO!E$31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N17-COMPARATIVO!F$31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Q17-COMPARATIVO!G$31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T17-COMPARATIVO!H$31</f>
        <v>66921.869993163</v>
      </c>
      <c r="V17" s="105" t="n">
        <f aca="false">ECONOMIA!I$26*C17/$C$6*(1+ENTRADAS!$C$27)^(12-1)</f>
        <v>12262.0478831541</v>
      </c>
      <c r="W17" s="105" t="n">
        <f aca="false">W16+V17</f>
        <v>106457.481820088</v>
      </c>
      <c r="X17" s="105" t="n">
        <f aca="false">W17-COMPARATIVO!I$31</f>
        <v>85376.941820088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E18-COMPARATIVO!C$31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H18-COMPARATIVO!D$31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K18-COMPARATIVO!E$31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N18-COMPARATIVO!F$31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Q18-COMPARATIVO!G$31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T18-COMPARATIVO!H$31</f>
        <v>76959.141043378</v>
      </c>
      <c r="V18" s="105" t="n">
        <f aca="false">ECONOMIA!I$26*C18/$C$6*(1+ENTRADAS!$C$27)^(13-1)</f>
        <v>13061.3494744175</v>
      </c>
      <c r="W18" s="105" t="n">
        <f aca="false">W17+V18</f>
        <v>119518.831294506</v>
      </c>
      <c r="X18" s="105" t="n">
        <f aca="false">W18-COMPARATIVO!I$31</f>
        <v>98438.2912945055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E19-COMPARATIVO!C$31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H19-COMPARATIVO!D$31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K19-COMPARATIVO!E$31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N19-COMPARATIVO!F$31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Q19-COMPARATIVO!G$31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T19-COMPARATIVO!H$31</f>
        <v>87650.6916070012</v>
      </c>
      <c r="V19" s="105" t="n">
        <f aca="false">ECONOMIA!I$26*C19/$C$6*(1+ENTRADAS!$C$27)^(14-1)</f>
        <v>13912.7535399074</v>
      </c>
      <c r="W19" s="105" t="n">
        <f aca="false">W18+V19</f>
        <v>133431.584834413</v>
      </c>
      <c r="X19" s="105" t="n">
        <f aca="false">W19-COMPARATIVO!I$31</f>
        <v>112351.044834413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E20-COMPARATIVO!C$31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H20-COMPARATIVO!D$31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K20-COMPARATIVO!E$31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N20-COMPARATIVO!F$31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Q20-COMPARATIVO!G$31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T20-COMPARATIVO!H$31</f>
        <v>99039.1708941142</v>
      </c>
      <c r="V20" s="105" t="n">
        <f aca="false">ECONOMIA!I$26*C20/$C$6*(1+ENTRADAS!$C$27)^(15-1)</f>
        <v>14819.6563794063</v>
      </c>
      <c r="W20" s="105" t="n">
        <f aca="false">W19+V20</f>
        <v>148251.241213819</v>
      </c>
      <c r="X20" s="105" t="n">
        <f aca="false">W20-COMPARATIVO!I$31</f>
        <v>127170.701213819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E21-COMPARATIVO!C$31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H21-COMPARATIVO!D$31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K21-COMPARATIVO!E$31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N21-COMPARATIVO!F$31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Q21-COMPARATIVO!G$31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T21-COMPARATIVO!H$31</f>
        <v>111170.008203558</v>
      </c>
      <c r="V21" s="105" t="n">
        <f aca="false">ECONOMIA!I$26*C21/$C$6*(1+ENTRADAS!$C$27)^(16-1)</f>
        <v>15785.6756804979</v>
      </c>
      <c r="W21" s="105" t="n">
        <f aca="false">W20+V21</f>
        <v>164036.916894317</v>
      </c>
      <c r="X21" s="105" t="n">
        <f aca="false">W21-COMPARATIVO!I$31</f>
        <v>142956.376894317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E22-COMPARATIVO!C$31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H22-COMPARATIVO!D$31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K22-COMPARATIVO!E$31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N22-COMPARATIVO!F$31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Q22-COMPARATIVO!G$31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T22-COMPARATIVO!H$31</f>
        <v>124091.594143017</v>
      </c>
      <c r="V22" s="105" t="n">
        <f aca="false">ECONOMIA!I$26*C22/$C$6*(1+ENTRADAS!$C$27)^(17-1)</f>
        <v>16814.6649497312</v>
      </c>
      <c r="W22" s="105" t="n">
        <f aca="false">W21+V22</f>
        <v>180851.581844048</v>
      </c>
      <c r="X22" s="105" t="n">
        <f aca="false">W22-COMPARATIVO!I$31</f>
        <v>159771.041844048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E23-COMPARATIVO!C$31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H23-COMPARATIVO!D$31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K23-COMPARATIVO!E$31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N23-COMPARATIVO!F$31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Q23-COMPARATIVO!G$31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T23-COMPARATIVO!H$31</f>
        <v>137855.47366194</v>
      </c>
      <c r="V23" s="105" t="n">
        <f aca="false">ECONOMIA!I$26*C23/$C$6*(1+ENTRADAS!$C$27)^(18-1)</f>
        <v>17910.7288844794</v>
      </c>
      <c r="W23" s="105" t="n">
        <f aca="false">W22+V23</f>
        <v>198762.310728528</v>
      </c>
      <c r="X23" s="105" t="n">
        <f aca="false">W23-COMPARATIVO!I$31</f>
        <v>177681.770728528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E24-COMPARATIVO!C$31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H24-COMPARATIVO!D$31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K24-COMPARATIVO!E$31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N24-COMPARATIVO!F$31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Q24-COMPARATIVO!G$31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T24-COMPARATIVO!H$31</f>
        <v>152516.551667305</v>
      </c>
      <c r="V24" s="105" t="n">
        <f aca="false">ECONOMIA!I$26*C24/$C$6*(1+ENTRADAS!$C$27)^(19-1)</f>
        <v>19078.2397468142</v>
      </c>
      <c r="W24" s="105" t="n">
        <f aca="false">W23+V24</f>
        <v>217840.550475342</v>
      </c>
      <c r="X24" s="105" t="n">
        <f aca="false">W24-COMPARATIVO!I$31</f>
        <v>196760.010475342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E25-COMPARATIVO!C$31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H25-COMPARATIVO!D$31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K25-COMPARATIVO!E$31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N25-COMPARATIVO!F$31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Q25-COMPARATIVO!G$31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T25-COMPARATIVO!H$31</f>
        <v>168133.312042449</v>
      </c>
      <c r="V25" s="108" t="n">
        <f aca="false">ECONOMIA!I$26*C25/$C$6*(1+ENTRADAS!$C$27)^(20-1)</f>
        <v>20321.8548047103</v>
      </c>
      <c r="W25" s="108" t="n">
        <f aca="false">W24+V25</f>
        <v>238162.405280052</v>
      </c>
      <c r="X25" s="108" t="n">
        <f aca="false">W25-COMPARATIVO!I$31</f>
        <v>217081.865280052</v>
      </c>
    </row>
    <row r="27" customFormat="false" ht="15" hidden="false" customHeight="false" outlineLevel="0" collapsed="false">
      <c r="B27" s="2" t="s">
        <v>814</v>
      </c>
    </row>
    <row r="28" customFormat="false" ht="15" hidden="false" customHeight="false" outlineLevel="0" collapsed="false">
      <c r="B28" s="2" t="s">
        <v>815</v>
      </c>
    </row>
    <row r="29" customFormat="false" ht="15" hidden="false" customHeight="false" outlineLevel="0" collapsed="false">
      <c r="B29" s="2" t="s">
        <v>816</v>
      </c>
    </row>
    <row r="30" customFormat="false" ht="15" hidden="false" customHeight="false" outlineLevel="0" collapsed="false">
      <c r="B30" s="5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818</v>
      </c>
    </row>
    <row r="2" customFormat="false" ht="15" hidden="false" customHeight="false" outlineLevel="0" collapsed="false">
      <c r="A2" s="2" t="s">
        <v>819</v>
      </c>
    </row>
    <row r="4" customFormat="false" ht="15" hidden="false" customHeight="false" outlineLevel="0" collapsed="false">
      <c r="B4" s="21" t="s">
        <v>820</v>
      </c>
      <c r="C4" s="16" t="n">
        <v>6.2</v>
      </c>
      <c r="D4" s="2" t="s">
        <v>821</v>
      </c>
    </row>
    <row r="6" customFormat="false" ht="23.85" hidden="false" customHeight="false" outlineLevel="0" collapsed="false">
      <c r="B6" s="17" t="s">
        <v>261</v>
      </c>
      <c r="C6" s="17" t="s">
        <v>822</v>
      </c>
      <c r="D6" s="17" t="s">
        <v>823</v>
      </c>
      <c r="E6" s="17" t="s">
        <v>824</v>
      </c>
      <c r="F6" s="17" t="s">
        <v>825</v>
      </c>
      <c r="G6" s="17" t="s">
        <v>826</v>
      </c>
      <c r="H6" s="17" t="s">
        <v>827</v>
      </c>
      <c r="I6" s="17" t="s">
        <v>828</v>
      </c>
    </row>
    <row r="7" customFormat="false" ht="15" hidden="false" customHeight="false" outlineLevel="0" collapsed="false">
      <c r="B7" s="18" t="s">
        <v>263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264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265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266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267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268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269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270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271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272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273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274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306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829</v>
      </c>
    </row>
    <row r="22" customFormat="false" ht="15" hidden="false" customHeight="false" outlineLevel="0" collapsed="false">
      <c r="B22" s="2" t="s">
        <v>830</v>
      </c>
    </row>
    <row r="23" customFormat="false" ht="15" hidden="false" customHeight="false" outlineLevel="0" collapsed="false">
      <c r="B23" s="2" t="s">
        <v>831</v>
      </c>
    </row>
    <row r="24" customFormat="false" ht="15" hidden="false" customHeight="false" outlineLevel="0" collapsed="false">
      <c r="B24" s="2" t="s">
        <v>832</v>
      </c>
    </row>
    <row r="25" customFormat="false" ht="15" hidden="false" customHeight="false" outlineLevel="0" collapsed="false">
      <c r="B25" s="2" t="s">
        <v>833</v>
      </c>
    </row>
    <row r="26" customFormat="false" ht="15" hidden="false" customHeight="false" outlineLevel="0" collapsed="false">
      <c r="B26" s="2" t="s">
        <v>834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835</v>
      </c>
    </row>
    <row r="29" customFormat="false" ht="15" hidden="false" customHeight="false" outlineLevel="0" collapsed="false">
      <c r="B29" s="2" t="s">
        <v>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837</v>
      </c>
    </row>
    <row r="2" customFormat="false" ht="15" hidden="false" customHeight="false" outlineLevel="0" collapsed="false">
      <c r="A2" s="2" t="s">
        <v>838</v>
      </c>
    </row>
    <row r="4" customFormat="false" ht="15" hidden="false" customHeight="false" outlineLevel="0" collapsed="false">
      <c r="B4" s="17" t="s">
        <v>839</v>
      </c>
      <c r="C4" s="17" t="s">
        <v>840</v>
      </c>
      <c r="D4" s="17" t="s">
        <v>841</v>
      </c>
      <c r="E4" s="17" t="s">
        <v>842</v>
      </c>
    </row>
    <row r="5" customFormat="false" ht="15" hidden="false" customHeight="false" outlineLevel="0" collapsed="false">
      <c r="B5" s="8"/>
      <c r="C5" s="7" t="s">
        <v>843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844</v>
      </c>
      <c r="D6" s="9" t="s">
        <v>845</v>
      </c>
      <c r="E6" s="110"/>
    </row>
    <row r="7" customFormat="false" ht="22.35" hidden="false" customHeight="false" outlineLevel="0" collapsed="false">
      <c r="B7" s="4" t="n">
        <v>2</v>
      </c>
      <c r="C7" s="109" t="s">
        <v>846</v>
      </c>
      <c r="D7" s="9" t="s">
        <v>845</v>
      </c>
      <c r="E7" s="110"/>
    </row>
    <row r="8" customFormat="false" ht="22.35" hidden="false" customHeight="false" outlineLevel="0" collapsed="false">
      <c r="B8" s="4" t="n">
        <v>3</v>
      </c>
      <c r="C8" s="109" t="s">
        <v>847</v>
      </c>
      <c r="D8" s="9" t="s">
        <v>845</v>
      </c>
      <c r="E8" s="110"/>
    </row>
    <row r="9" customFormat="false" ht="22.35" hidden="false" customHeight="false" outlineLevel="0" collapsed="false">
      <c r="B9" s="4" t="n">
        <v>4</v>
      </c>
      <c r="C9" s="109" t="s">
        <v>848</v>
      </c>
      <c r="D9" s="9" t="s">
        <v>845</v>
      </c>
      <c r="E9" s="110"/>
    </row>
    <row r="10" customFormat="false" ht="32.8" hidden="false" customHeight="false" outlineLevel="0" collapsed="false">
      <c r="B10" s="4" t="n">
        <v>5</v>
      </c>
      <c r="C10" s="109" t="s">
        <v>849</v>
      </c>
      <c r="D10" s="9" t="s">
        <v>845</v>
      </c>
      <c r="E10" s="110"/>
    </row>
    <row r="11" customFormat="false" ht="22.35" hidden="false" customHeight="false" outlineLevel="0" collapsed="false">
      <c r="B11" s="4" t="n">
        <v>6</v>
      </c>
      <c r="C11" s="109" t="s">
        <v>850</v>
      </c>
      <c r="D11" s="9" t="s">
        <v>845</v>
      </c>
      <c r="E11" s="110"/>
    </row>
    <row r="12" customFormat="false" ht="22.35" hidden="false" customHeight="false" outlineLevel="0" collapsed="false">
      <c r="B12" s="4" t="n">
        <v>7</v>
      </c>
      <c r="C12" s="109" t="s">
        <v>851</v>
      </c>
      <c r="D12" s="9" t="s">
        <v>845</v>
      </c>
      <c r="E12" s="110"/>
    </row>
    <row r="13" customFormat="false" ht="15" hidden="false" customHeight="false" outlineLevel="0" collapsed="false">
      <c r="B13" s="4" t="n">
        <v>8</v>
      </c>
      <c r="C13" s="109" t="s">
        <v>852</v>
      </c>
      <c r="D13" s="9" t="s">
        <v>845</v>
      </c>
      <c r="E13" s="110"/>
    </row>
    <row r="14" customFormat="false" ht="15" hidden="false" customHeight="false" outlineLevel="0" collapsed="false">
      <c r="B14" s="4" t="n">
        <v>9</v>
      </c>
      <c r="C14" s="109" t="s">
        <v>853</v>
      </c>
      <c r="D14" s="9" t="s">
        <v>845</v>
      </c>
      <c r="E14" s="110"/>
    </row>
    <row r="15" customFormat="false" ht="22.35" hidden="false" customHeight="false" outlineLevel="0" collapsed="false">
      <c r="B15" s="4" t="n">
        <v>10</v>
      </c>
      <c r="C15" s="109" t="s">
        <v>854</v>
      </c>
      <c r="D15" s="9" t="s">
        <v>845</v>
      </c>
      <c r="E15" s="110"/>
    </row>
    <row r="16" customFormat="false" ht="22.35" hidden="false" customHeight="false" outlineLevel="0" collapsed="false">
      <c r="B16" s="4" t="n">
        <v>11</v>
      </c>
      <c r="C16" s="109" t="s">
        <v>855</v>
      </c>
      <c r="D16" s="9" t="s">
        <v>845</v>
      </c>
      <c r="E16" s="110"/>
    </row>
    <row r="17" customFormat="false" ht="15" hidden="false" customHeight="false" outlineLevel="0" collapsed="false">
      <c r="B17" s="8"/>
      <c r="C17" s="7" t="s">
        <v>856</v>
      </c>
      <c r="D17" s="8"/>
      <c r="E17" s="8"/>
    </row>
    <row r="18" customFormat="false" ht="22.35" hidden="false" customHeight="false" outlineLevel="0" collapsed="false">
      <c r="B18" s="4" t="n">
        <v>12</v>
      </c>
      <c r="C18" s="109" t="s">
        <v>857</v>
      </c>
      <c r="D18" s="9" t="s">
        <v>845</v>
      </c>
      <c r="E18" s="110"/>
    </row>
    <row r="19" customFormat="false" ht="22.35" hidden="false" customHeight="false" outlineLevel="0" collapsed="false">
      <c r="B19" s="4" t="n">
        <v>13</v>
      </c>
      <c r="C19" s="109" t="s">
        <v>858</v>
      </c>
      <c r="D19" s="9" t="s">
        <v>845</v>
      </c>
      <c r="E19" s="110"/>
    </row>
    <row r="20" customFormat="false" ht="32.8" hidden="false" customHeight="false" outlineLevel="0" collapsed="false">
      <c r="B20" s="4" t="n">
        <v>14</v>
      </c>
      <c r="C20" s="109" t="s">
        <v>859</v>
      </c>
      <c r="D20" s="9" t="s">
        <v>845</v>
      </c>
      <c r="E20" s="110"/>
    </row>
    <row r="21" customFormat="false" ht="22.35" hidden="false" customHeight="false" outlineLevel="0" collapsed="false">
      <c r="B21" s="4" t="n">
        <v>15</v>
      </c>
      <c r="C21" s="109" t="s">
        <v>860</v>
      </c>
      <c r="D21" s="9" t="s">
        <v>845</v>
      </c>
      <c r="E21" s="110"/>
    </row>
    <row r="22" customFormat="false" ht="22.35" hidden="false" customHeight="false" outlineLevel="0" collapsed="false">
      <c r="B22" s="4" t="n">
        <v>16</v>
      </c>
      <c r="C22" s="109" t="s">
        <v>861</v>
      </c>
      <c r="D22" s="9" t="s">
        <v>845</v>
      </c>
      <c r="E22" s="110"/>
    </row>
    <row r="23" customFormat="false" ht="35.05" hidden="false" customHeight="false" outlineLevel="0" collapsed="false">
      <c r="B23" s="4" t="n">
        <v>17</v>
      </c>
      <c r="C23" s="111" t="s">
        <v>862</v>
      </c>
      <c r="D23" s="9" t="s">
        <v>845</v>
      </c>
      <c r="E23" s="110"/>
    </row>
    <row r="25" customFormat="false" ht="15" hidden="false" customHeight="false" outlineLevel="0" collapsed="false">
      <c r="B25" s="8"/>
      <c r="C25" s="7" t="s">
        <v>863</v>
      </c>
      <c r="D25" s="8"/>
      <c r="E25" s="8"/>
    </row>
    <row r="26" customFormat="false" ht="32.8" hidden="false" customHeight="false" outlineLevel="0" collapsed="false">
      <c r="B26" s="4" t="n">
        <v>18</v>
      </c>
      <c r="C26" s="109" t="s">
        <v>864</v>
      </c>
      <c r="D26" s="9" t="s">
        <v>845</v>
      </c>
      <c r="E26" s="110"/>
    </row>
    <row r="27" customFormat="false" ht="22.35" hidden="false" customHeight="false" outlineLevel="0" collapsed="false">
      <c r="B27" s="4" t="n">
        <v>19</v>
      </c>
      <c r="C27" s="109" t="s">
        <v>865</v>
      </c>
      <c r="D27" s="9" t="s">
        <v>845</v>
      </c>
      <c r="E27" s="110"/>
    </row>
    <row r="28" customFormat="false" ht="22.35" hidden="false" customHeight="false" outlineLevel="0" collapsed="false">
      <c r="B28" s="4" t="n">
        <v>20</v>
      </c>
      <c r="C28" s="109" t="s">
        <v>866</v>
      </c>
      <c r="D28" s="9" t="s">
        <v>845</v>
      </c>
      <c r="E28" s="110"/>
    </row>
    <row r="29" customFormat="false" ht="22.35" hidden="false" customHeight="false" outlineLevel="0" collapsed="false">
      <c r="B29" s="4" t="n">
        <v>21</v>
      </c>
      <c r="C29" s="109" t="s">
        <v>867</v>
      </c>
      <c r="D29" s="9" t="s">
        <v>845</v>
      </c>
      <c r="E29" s="110"/>
    </row>
    <row r="30" customFormat="false" ht="32.8" hidden="false" customHeight="false" outlineLevel="0" collapsed="false">
      <c r="B30" s="4" t="n">
        <v>22</v>
      </c>
      <c r="C30" s="109" t="s">
        <v>868</v>
      </c>
      <c r="D30" s="9" t="s">
        <v>845</v>
      </c>
      <c r="E30" s="110"/>
    </row>
    <row r="31" customFormat="false" ht="32.8" hidden="false" customHeight="false" outlineLevel="0" collapsed="false">
      <c r="B31" s="4" t="n">
        <v>23</v>
      </c>
      <c r="C31" s="109" t="s">
        <v>869</v>
      </c>
      <c r="D31" s="9" t="s">
        <v>845</v>
      </c>
      <c r="E31" s="110"/>
    </row>
    <row r="32" customFormat="false" ht="32.8" hidden="false" customHeight="false" outlineLevel="0" collapsed="false">
      <c r="B32" s="4" t="n">
        <v>24</v>
      </c>
      <c r="C32" s="109" t="s">
        <v>870</v>
      </c>
      <c r="D32" s="9" t="s">
        <v>845</v>
      </c>
      <c r="E32" s="110"/>
    </row>
    <row r="33" customFormat="false" ht="22.35" hidden="false" customHeight="false" outlineLevel="0" collapsed="false">
      <c r="B33" s="4" t="n">
        <v>25</v>
      </c>
      <c r="C33" s="109" t="s">
        <v>871</v>
      </c>
      <c r="D33" s="9" t="s">
        <v>845</v>
      </c>
      <c r="E33" s="110"/>
    </row>
    <row r="34" customFormat="false" ht="22.35" hidden="false" customHeight="false" outlineLevel="0" collapsed="false">
      <c r="B34" s="4" t="n">
        <v>26</v>
      </c>
      <c r="C34" s="109" t="s">
        <v>872</v>
      </c>
      <c r="D34" s="9" t="s">
        <v>845</v>
      </c>
      <c r="E34" s="110"/>
    </row>
    <row r="35" customFormat="false" ht="22.35" hidden="false" customHeight="false" outlineLevel="0" collapsed="false">
      <c r="B35" s="4" t="n">
        <v>27</v>
      </c>
      <c r="C35" s="109" t="s">
        <v>873</v>
      </c>
      <c r="D35" s="9" t="s">
        <v>845</v>
      </c>
      <c r="E35" s="110"/>
    </row>
    <row r="36" customFormat="false" ht="22.35" hidden="false" customHeight="false" outlineLevel="0" collapsed="false">
      <c r="B36" s="4" t="n">
        <v>28</v>
      </c>
      <c r="C36" s="109" t="s">
        <v>874</v>
      </c>
      <c r="D36" s="9" t="s">
        <v>845</v>
      </c>
      <c r="E36" s="110"/>
    </row>
    <row r="37" customFormat="false" ht="22.35" hidden="false" customHeight="false" outlineLevel="0" collapsed="false">
      <c r="B37" s="4" t="n">
        <v>29</v>
      </c>
      <c r="C37" s="109" t="s">
        <v>875</v>
      </c>
      <c r="D37" s="9" t="s">
        <v>845</v>
      </c>
      <c r="E37" s="110"/>
    </row>
    <row r="38" customFormat="false" ht="15" hidden="false" customHeight="false" outlineLevel="0" collapsed="false">
      <c r="B38" s="4" t="n">
        <v>30</v>
      </c>
      <c r="C38" s="109" t="s">
        <v>876</v>
      </c>
      <c r="D38" s="9" t="s">
        <v>845</v>
      </c>
      <c r="E38" s="110"/>
    </row>
    <row r="40" customFormat="false" ht="15" hidden="false" customHeight="false" outlineLevel="0" collapsed="false">
      <c r="B40" s="8"/>
      <c r="C40" s="7" t="s">
        <v>877</v>
      </c>
      <c r="D40" s="8"/>
      <c r="E40" s="8"/>
    </row>
    <row r="41" customFormat="false" ht="15" hidden="false" customHeight="false" outlineLevel="0" collapsed="false">
      <c r="B41" s="4" t="n">
        <v>31</v>
      </c>
      <c r="C41" s="111" t="s">
        <v>878</v>
      </c>
      <c r="D41" s="9" t="s">
        <v>845</v>
      </c>
      <c r="E41" s="110"/>
    </row>
    <row r="42" customFormat="false" ht="15" hidden="false" customHeight="false" outlineLevel="0" collapsed="false">
      <c r="B42" s="4" t="n">
        <v>32</v>
      </c>
      <c r="C42" s="111" t="s">
        <v>879</v>
      </c>
      <c r="D42" s="9" t="s">
        <v>845</v>
      </c>
      <c r="E42" s="110"/>
    </row>
    <row r="43" customFormat="false" ht="15" hidden="false" customHeight="false" outlineLevel="0" collapsed="false">
      <c r="B43" s="4" t="n">
        <v>33</v>
      </c>
      <c r="C43" s="111" t="s">
        <v>880</v>
      </c>
      <c r="D43" s="9" t="s">
        <v>845</v>
      </c>
      <c r="E43" s="110"/>
    </row>
    <row r="44" customFormat="false" ht="15" hidden="false" customHeight="false" outlineLevel="0" collapsed="false">
      <c r="B44" s="4" t="n">
        <v>34</v>
      </c>
      <c r="C44" s="111" t="s">
        <v>881</v>
      </c>
      <c r="D44" s="9" t="s">
        <v>845</v>
      </c>
      <c r="E44" s="110"/>
    </row>
    <row r="45" customFormat="false" ht="15" hidden="false" customHeight="false" outlineLevel="0" collapsed="false">
      <c r="B45" s="4" t="n">
        <v>35</v>
      </c>
      <c r="C45" s="111" t="s">
        <v>882</v>
      </c>
      <c r="D45" s="9" t="s">
        <v>845</v>
      </c>
      <c r="E45" s="110"/>
    </row>
    <row r="46" customFormat="false" ht="15" hidden="false" customHeight="false" outlineLevel="0" collapsed="false">
      <c r="B46" s="4" t="n">
        <v>36</v>
      </c>
      <c r="C46" s="111" t="s">
        <v>883</v>
      </c>
      <c r="D46" s="9" t="s">
        <v>845</v>
      </c>
      <c r="E46" s="110"/>
    </row>
    <row r="47" customFormat="false" ht="15" hidden="false" customHeight="false" outlineLevel="0" collapsed="false">
      <c r="B47" s="4" t="n">
        <v>37</v>
      </c>
      <c r="C47" s="111" t="s">
        <v>884</v>
      </c>
      <c r="D47" s="9" t="s">
        <v>845</v>
      </c>
      <c r="E47" s="110"/>
    </row>
    <row r="48" customFormat="false" ht="15" hidden="false" customHeight="false" outlineLevel="0" collapsed="false">
      <c r="B48" s="4" t="n">
        <v>38</v>
      </c>
      <c r="C48" s="111" t="s">
        <v>885</v>
      </c>
      <c r="D48" s="9" t="s">
        <v>845</v>
      </c>
      <c r="E48" s="110"/>
    </row>
    <row r="49" customFormat="false" ht="15" hidden="false" customHeight="false" outlineLevel="0" collapsed="false">
      <c r="B49" s="4" t="n">
        <v>39</v>
      </c>
      <c r="C49" s="111" t="s">
        <v>886</v>
      </c>
      <c r="D49" s="9" t="s">
        <v>845</v>
      </c>
      <c r="E49" s="110"/>
    </row>
    <row r="51" customFormat="false" ht="15" hidden="false" customHeight="false" outlineLevel="0" collapsed="false">
      <c r="B51" s="8"/>
      <c r="C51" s="7" t="s">
        <v>887</v>
      </c>
      <c r="D51" s="8"/>
      <c r="E51" s="8"/>
    </row>
    <row r="52" customFormat="false" ht="15" hidden="false" customHeight="false" outlineLevel="0" collapsed="false">
      <c r="B52" s="4" t="n">
        <v>40</v>
      </c>
      <c r="C52" s="111" t="s">
        <v>888</v>
      </c>
      <c r="D52" s="9" t="s">
        <v>845</v>
      </c>
      <c r="E52" s="110"/>
    </row>
    <row r="53" customFormat="false" ht="15" hidden="false" customHeight="false" outlineLevel="0" collapsed="false">
      <c r="B53" s="4" t="n">
        <v>41</v>
      </c>
      <c r="C53" s="111" t="s">
        <v>889</v>
      </c>
      <c r="D53" s="9" t="s">
        <v>845</v>
      </c>
      <c r="E53" s="110"/>
    </row>
    <row r="54" customFormat="false" ht="15" hidden="false" customHeight="false" outlineLevel="0" collapsed="false">
      <c r="B54" s="4" t="n">
        <v>42</v>
      </c>
      <c r="C54" s="111" t="s">
        <v>890</v>
      </c>
      <c r="D54" s="9" t="s">
        <v>845</v>
      </c>
      <c r="E54" s="110"/>
    </row>
    <row r="55" customFormat="false" ht="15" hidden="false" customHeight="false" outlineLevel="0" collapsed="false">
      <c r="B55" s="4" t="n">
        <v>43</v>
      </c>
      <c r="C55" s="111" t="s">
        <v>891</v>
      </c>
      <c r="D55" s="9" t="s">
        <v>845</v>
      </c>
      <c r="E55" s="110"/>
    </row>
    <row r="56" customFormat="false" ht="15" hidden="false" customHeight="false" outlineLevel="0" collapsed="false">
      <c r="B56" s="4" t="n">
        <v>44</v>
      </c>
      <c r="C56" s="111" t="s">
        <v>892</v>
      </c>
      <c r="D56" s="9" t="s">
        <v>845</v>
      </c>
      <c r="E56" s="110"/>
    </row>
    <row r="57" customFormat="false" ht="15" hidden="false" customHeight="false" outlineLevel="0" collapsed="false">
      <c r="B57" s="4" t="n">
        <v>45</v>
      </c>
      <c r="C57" s="111" t="s">
        <v>893</v>
      </c>
      <c r="D57" s="9" t="s">
        <v>845</v>
      </c>
      <c r="E57" s="110"/>
    </row>
    <row r="58" customFormat="false" ht="15" hidden="false" customHeight="false" outlineLevel="0" collapsed="false">
      <c r="B58" s="4" t="n">
        <v>46</v>
      </c>
      <c r="C58" s="111" t="s">
        <v>894</v>
      </c>
      <c r="D58" s="9" t="s">
        <v>845</v>
      </c>
      <c r="E58" s="110"/>
    </row>
    <row r="60" customFormat="false" ht="15" hidden="false" customHeight="false" outlineLevel="0" collapsed="false">
      <c r="B60" s="8"/>
      <c r="C60" s="7" t="s">
        <v>895</v>
      </c>
      <c r="D60" s="8"/>
      <c r="E60" s="8"/>
    </row>
    <row r="61" customFormat="false" ht="15" hidden="false" customHeight="false" outlineLevel="0" collapsed="false">
      <c r="B61" s="4" t="n">
        <v>47</v>
      </c>
      <c r="C61" s="111" t="s">
        <v>896</v>
      </c>
      <c r="D61" s="9" t="s">
        <v>845</v>
      </c>
      <c r="E61" s="110"/>
    </row>
    <row r="62" customFormat="false" ht="23.85" hidden="false" customHeight="false" outlineLevel="0" collapsed="false">
      <c r="B62" s="4" t="n">
        <v>48</v>
      </c>
      <c r="C62" s="111" t="s">
        <v>897</v>
      </c>
      <c r="D62" s="9" t="s">
        <v>845</v>
      </c>
      <c r="E62" s="110"/>
    </row>
    <row r="63" customFormat="false" ht="15" hidden="false" customHeight="false" outlineLevel="0" collapsed="false">
      <c r="B63" s="4" t="n">
        <v>49</v>
      </c>
      <c r="C63" s="111" t="s">
        <v>898</v>
      </c>
      <c r="D63" s="9" t="s">
        <v>845</v>
      </c>
      <c r="E63" s="110"/>
    </row>
    <row r="64" customFormat="false" ht="15" hidden="false" customHeight="false" outlineLevel="0" collapsed="false">
      <c r="B64" s="4" t="n">
        <v>50</v>
      </c>
      <c r="C64" s="111" t="s">
        <v>899</v>
      </c>
      <c r="D64" s="9" t="s">
        <v>845</v>
      </c>
      <c r="E64" s="110"/>
    </row>
    <row r="65" customFormat="false" ht="15" hidden="false" customHeight="false" outlineLevel="0" collapsed="false">
      <c r="B65" s="4" t="n">
        <v>51</v>
      </c>
      <c r="C65" s="111" t="s">
        <v>900</v>
      </c>
      <c r="D65" s="9" t="s">
        <v>845</v>
      </c>
      <c r="E65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901</v>
      </c>
    </row>
    <row r="2" customFormat="false" ht="15" hidden="false" customHeight="false" outlineLevel="0" collapsed="false">
      <c r="A2" s="2" t="s">
        <v>902</v>
      </c>
    </row>
    <row r="4" customFormat="false" ht="15" hidden="false" customHeight="false" outlineLevel="0" collapsed="false">
      <c r="B4" s="17" t="s">
        <v>903</v>
      </c>
      <c r="C4" s="17" t="s">
        <v>904</v>
      </c>
      <c r="D4" s="17" t="s">
        <v>905</v>
      </c>
      <c r="E4" s="17" t="s">
        <v>906</v>
      </c>
      <c r="F4" s="17" t="s">
        <v>907</v>
      </c>
    </row>
    <row r="5" customFormat="false" ht="15" hidden="false" customHeight="false" outlineLevel="0" collapsed="false">
      <c r="B5" s="18" t="s">
        <v>908</v>
      </c>
      <c r="C5" s="9"/>
      <c r="D5" s="9"/>
      <c r="E5" s="9"/>
      <c r="F5" s="66" t="s">
        <v>909</v>
      </c>
    </row>
    <row r="6" customFormat="false" ht="15" hidden="false" customHeight="false" outlineLevel="0" collapsed="false">
      <c r="B6" s="18" t="s">
        <v>910</v>
      </c>
      <c r="C6" s="9"/>
      <c r="D6" s="9"/>
      <c r="E6" s="9"/>
      <c r="F6" s="66" t="s">
        <v>911</v>
      </c>
    </row>
    <row r="7" customFormat="false" ht="15" hidden="false" customHeight="false" outlineLevel="0" collapsed="false">
      <c r="B7" s="18" t="s">
        <v>912</v>
      </c>
      <c r="C7" s="9"/>
      <c r="D7" s="9"/>
      <c r="E7" s="9"/>
      <c r="F7" s="66" t="s">
        <v>913</v>
      </c>
    </row>
    <row r="8" customFormat="false" ht="15" hidden="false" customHeight="false" outlineLevel="0" collapsed="false">
      <c r="B8" s="48" t="s">
        <v>914</v>
      </c>
      <c r="C8" s="9"/>
      <c r="D8" s="9"/>
      <c r="E8" s="9"/>
      <c r="F8" s="66" t="s">
        <v>915</v>
      </c>
    </row>
    <row r="9" customFormat="false" ht="15" hidden="false" customHeight="false" outlineLevel="0" collapsed="false">
      <c r="B9" s="18" t="s">
        <v>480</v>
      </c>
      <c r="C9" s="9"/>
      <c r="D9" s="9"/>
      <c r="E9" s="9"/>
      <c r="F9" s="66" t="s">
        <v>916</v>
      </c>
    </row>
    <row r="10" customFormat="false" ht="15" hidden="false" customHeight="false" outlineLevel="0" collapsed="false">
      <c r="B10" s="18" t="s">
        <v>482</v>
      </c>
      <c r="C10" s="9"/>
      <c r="D10" s="9"/>
      <c r="E10" s="9"/>
      <c r="F10" s="66" t="s">
        <v>917</v>
      </c>
    </row>
    <row r="11" customFormat="false" ht="15" hidden="false" customHeight="false" outlineLevel="0" collapsed="false">
      <c r="B11" s="18" t="s">
        <v>918</v>
      </c>
      <c r="C11" s="9"/>
      <c r="D11" s="9"/>
      <c r="E11" s="9"/>
      <c r="F11" s="66" t="s">
        <v>919</v>
      </c>
    </row>
    <row r="12" customFormat="false" ht="15" hidden="false" customHeight="false" outlineLevel="0" collapsed="false">
      <c r="B12" s="18" t="s">
        <v>920</v>
      </c>
      <c r="C12" s="9"/>
      <c r="D12" s="9"/>
      <c r="E12" s="9"/>
      <c r="F12" s="66" t="s">
        <v>921</v>
      </c>
    </row>
    <row r="13" customFormat="false" ht="15" hidden="false" customHeight="false" outlineLevel="0" collapsed="false">
      <c r="B13" s="18" t="s">
        <v>922</v>
      </c>
      <c r="C13" s="9"/>
      <c r="D13" s="9"/>
      <c r="E13" s="9"/>
      <c r="F13" s="66" t="s">
        <v>923</v>
      </c>
    </row>
    <row r="14" customFormat="false" ht="15" hidden="false" customHeight="false" outlineLevel="0" collapsed="false">
      <c r="B14" s="18" t="s">
        <v>502</v>
      </c>
      <c r="C14" s="9"/>
      <c r="D14" s="9"/>
      <c r="E14" s="9"/>
      <c r="F14" s="66" t="s">
        <v>924</v>
      </c>
    </row>
    <row r="15" customFormat="false" ht="15" hidden="false" customHeight="false" outlineLevel="0" collapsed="false">
      <c r="B15" s="18" t="s">
        <v>925</v>
      </c>
      <c r="C15" s="9"/>
      <c r="D15" s="9"/>
      <c r="E15" s="9"/>
      <c r="F15" s="66" t="s">
        <v>926</v>
      </c>
    </row>
    <row r="16" customFormat="false" ht="15" hidden="false" customHeight="false" outlineLevel="0" collapsed="false">
      <c r="B16" s="18" t="s">
        <v>927</v>
      </c>
      <c r="C16" s="9"/>
      <c r="D16" s="9"/>
      <c r="E16" s="9"/>
      <c r="F16" s="66" t="s">
        <v>928</v>
      </c>
    </row>
    <row r="17" customFormat="false" ht="15" hidden="false" customHeight="false" outlineLevel="0" collapsed="false">
      <c r="B17" s="18" t="s">
        <v>504</v>
      </c>
      <c r="C17" s="9"/>
      <c r="D17" s="9"/>
      <c r="E17" s="9"/>
      <c r="F17" s="66" t="s">
        <v>929</v>
      </c>
    </row>
    <row r="18" customFormat="false" ht="15" hidden="false" customHeight="false" outlineLevel="0" collapsed="false">
      <c r="B18" s="18" t="s">
        <v>930</v>
      </c>
      <c r="C18" s="9"/>
      <c r="D18" s="9"/>
      <c r="E18" s="9"/>
      <c r="F18" s="66" t="s">
        <v>931</v>
      </c>
    </row>
    <row r="19" customFormat="false" ht="15" hidden="false" customHeight="false" outlineLevel="0" collapsed="false">
      <c r="B19" s="18" t="s">
        <v>932</v>
      </c>
      <c r="C19" s="9"/>
      <c r="D19" s="9"/>
      <c r="E19" s="9"/>
      <c r="F19" s="66" t="s">
        <v>933</v>
      </c>
    </row>
    <row r="20" customFormat="false" ht="15" hidden="false" customHeight="false" outlineLevel="0" collapsed="false">
      <c r="B20" s="18" t="s">
        <v>934</v>
      </c>
      <c r="C20" s="9"/>
      <c r="D20" s="9"/>
      <c r="E20" s="9"/>
      <c r="F20" s="66" t="s">
        <v>935</v>
      </c>
    </row>
    <row r="21" customFormat="false" ht="15" hidden="false" customHeight="false" outlineLevel="0" collapsed="false">
      <c r="B21" s="18" t="s">
        <v>936</v>
      </c>
      <c r="C21" s="9"/>
      <c r="D21" s="9"/>
      <c r="E21" s="9"/>
      <c r="F21" s="66" t="s">
        <v>937</v>
      </c>
    </row>
    <row r="22" customFormat="false" ht="15" hidden="false" customHeight="false" outlineLevel="0" collapsed="false">
      <c r="B22" s="18" t="s">
        <v>938</v>
      </c>
      <c r="C22" s="9"/>
      <c r="D22" s="9"/>
      <c r="E22" s="9"/>
      <c r="F22" s="66" t="s">
        <v>939</v>
      </c>
    </row>
    <row r="23" customFormat="false" ht="15" hidden="false" customHeight="false" outlineLevel="0" collapsed="false">
      <c r="B23" s="18" t="s">
        <v>940</v>
      </c>
      <c r="C23" s="9"/>
      <c r="D23" s="9"/>
      <c r="E23" s="9"/>
      <c r="F23" s="66" t="s">
        <v>941</v>
      </c>
    </row>
    <row r="24" customFormat="false" ht="15" hidden="false" customHeight="false" outlineLevel="0" collapsed="false">
      <c r="B24" s="18" t="s">
        <v>942</v>
      </c>
      <c r="C24" s="9"/>
      <c r="D24" s="9"/>
      <c r="E24" s="9"/>
      <c r="F24" s="66" t="s">
        <v>943</v>
      </c>
    </row>
    <row r="25" customFormat="false" ht="15" hidden="false" customHeight="false" outlineLevel="0" collapsed="false">
      <c r="B25" s="18" t="s">
        <v>944</v>
      </c>
      <c r="C25" s="9"/>
      <c r="D25" s="9"/>
      <c r="E25" s="9"/>
      <c r="F25" s="66" t="s">
        <v>945</v>
      </c>
    </row>
    <row r="26" customFormat="false" ht="15" hidden="false" customHeight="false" outlineLevel="0" collapsed="false">
      <c r="B26" s="18" t="s">
        <v>946</v>
      </c>
      <c r="C26" s="9"/>
      <c r="D26" s="9"/>
      <c r="E26" s="9"/>
      <c r="F26" s="66" t="s">
        <v>947</v>
      </c>
    </row>
    <row r="27" customFormat="false" ht="15" hidden="false" customHeight="false" outlineLevel="0" collapsed="false">
      <c r="B27" s="18" t="s">
        <v>948</v>
      </c>
      <c r="C27" s="9"/>
      <c r="D27" s="9"/>
      <c r="E27" s="9"/>
      <c r="F27" s="66" t="s">
        <v>949</v>
      </c>
    </row>
    <row r="28" customFormat="false" ht="15" hidden="false" customHeight="false" outlineLevel="0" collapsed="false">
      <c r="B28" s="48" t="s">
        <v>950</v>
      </c>
      <c r="C28" s="9"/>
      <c r="D28" s="9"/>
      <c r="E28" s="9"/>
      <c r="F28" s="66" t="s">
        <v>951</v>
      </c>
    </row>
    <row r="29" customFormat="false" ht="15" hidden="false" customHeight="false" outlineLevel="0" collapsed="false">
      <c r="B29" s="18" t="s">
        <v>952</v>
      </c>
      <c r="C29" s="9"/>
      <c r="D29" s="9"/>
      <c r="E29" s="9"/>
      <c r="F29" s="66" t="s">
        <v>953</v>
      </c>
    </row>
    <row r="30" customFormat="false" ht="15" hidden="false" customHeight="false" outlineLevel="0" collapsed="false">
      <c r="B30" s="18" t="s">
        <v>954</v>
      </c>
      <c r="C30" s="9"/>
      <c r="D30" s="9"/>
      <c r="E30" s="9"/>
      <c r="F30" s="66" t="s">
        <v>955</v>
      </c>
    </row>
    <row r="31" customFormat="false" ht="15" hidden="false" customHeight="false" outlineLevel="0" collapsed="false">
      <c r="B31" s="18" t="s">
        <v>956</v>
      </c>
      <c r="C31" s="9"/>
      <c r="D31" s="9"/>
      <c r="E31" s="9"/>
      <c r="F31" s="66" t="s">
        <v>957</v>
      </c>
    </row>
    <row r="32" customFormat="false" ht="15" hidden="false" customHeight="false" outlineLevel="0" collapsed="false">
      <c r="B32" s="18" t="s">
        <v>958</v>
      </c>
      <c r="C32" s="9"/>
      <c r="D32" s="9"/>
      <c r="E32" s="9"/>
      <c r="F32" s="66" t="s">
        <v>959</v>
      </c>
    </row>
    <row r="33" customFormat="false" ht="15" hidden="false" customHeight="false" outlineLevel="0" collapsed="false">
      <c r="B33" s="18" t="s">
        <v>960</v>
      </c>
      <c r="C33" s="9"/>
      <c r="D33" s="9"/>
      <c r="E33" s="9"/>
      <c r="F33" s="66" t="s">
        <v>961</v>
      </c>
    </row>
    <row r="34" customFormat="false" ht="15" hidden="false" customHeight="false" outlineLevel="0" collapsed="false">
      <c r="B34" s="18" t="s">
        <v>962</v>
      </c>
      <c r="C34" s="9"/>
      <c r="D34" s="9"/>
      <c r="E34" s="9"/>
      <c r="F34" s="66" t="s">
        <v>963</v>
      </c>
    </row>
    <row r="35" customFormat="false" ht="15" hidden="false" customHeight="false" outlineLevel="0" collapsed="false">
      <c r="B35" s="18" t="s">
        <v>516</v>
      </c>
      <c r="C35" s="9"/>
      <c r="D35" s="9"/>
      <c r="E35" s="9"/>
      <c r="F35" s="66" t="s">
        <v>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2026-08-11T13:01:11Z</dcterms:created>
  <dc:creator>openpyxl</dc:creator>
  <dc:description/>
  <dc:language>en-US</dc:language>
  <cp:lastModifiedBy/>
  <dcterms:modified xsi:type="dcterms:W3CDTF">2026-08-11T13:01:11Z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