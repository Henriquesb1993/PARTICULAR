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<sst xmlns="http://schemas.openxmlformats.org/spreadsheetml/2006/main" count="1235" uniqueCount="1007">
  <si>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</si>
  <si>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</si>
  <si>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</si>
  <si>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</si>
  <si>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</si>
  <si>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</si>
  <si>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</si>
  <si>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</si>
  <si>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</si>
  <si>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</si>
  <si>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</si>
  <si>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</si>
  <si>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</si>
  <si>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</si>
  <si>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</si>
  <si>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</si>
  <si>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</si>
  <si>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</si>
  <si>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</si>
  <si>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</si>
  <si>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</si>
  <si>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</si>
  <si>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</si>
  <si>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</si>
  <si>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</si>
  <si>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</si>
  <si>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</si>
  <si>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</si>
  <si>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</si>
  <si>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</si>
  <si>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</si>
  <si>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</si>
  <si>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</si>
  <si>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</si>
  <si>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</si>
  <si>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</si>
  <si>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</si>
  <si>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</si>
  <si>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</si>
  <si>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</si>
  <si>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</si>
  <si>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</si>
  <si>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</si>
  <si>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</si>
  <si>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</si>
  <si>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</si>
  <si>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</si>
  <si>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</si>
  <si>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</si>
  <si>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</si>
  <si>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</si>
  <si>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</si>
  <si>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</si>
  <si>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</si>
  <si>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</si>
  <si>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</si>
  <si>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</si>
  <si>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</si>
  <si>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</si>
  <si>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</si>
  <si>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</si>
  <si>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</si>
  <si>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</si>
  <si>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</si>
  <si>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</si>
  <si>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</si>
  <si>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</si>
  <si>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</si>
  <si>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</si>
  <si>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</si>
  <si>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</si>
  <si>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</si>
  <si>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</si>
  <si>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</si>
  <si>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</si>
  <si>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</si>
  <si>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</si>
  <si>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</si>
  <si>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</si>
  <si>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</si>
  <si>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</si>
  <si>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</si>
  <si>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</si>
  <si>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</si>
  <si>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</si>
  <si>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</si>
  <si>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</si>
  <si>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</si>
  <si>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</si>
  <si>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</si>
  <si>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</si>
  <si>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</si>
  <si>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</si>
  <si>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</si>
  <si>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</si>
  <si>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</si>
  <si>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</si>
  <si>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</si>
  <si>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</si>
  <si>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</si>
  <si>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</si>
  <si>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</si>
  <si>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</si>
  <si>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</si>
  <si>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</si>
  <si>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</si>
  <si>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</si>
  <si>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</si>
  <si>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</si>
  <si>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</si>
  <si>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</si>
  <si>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</si>
  <si>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</si>
  <si>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</si>
  <si>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</si>
  <si>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</si>
  <si>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</si>
  <si>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</si>
  <si>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</si>
  <si>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</si>
  <si>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</si>
  <si>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</si>
  <si>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</si>
  <si>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</si>
  <si>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</si>
  <si>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</si>
  <si>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</si>
  <si>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</si>
  <si>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</si>
  <si>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</si>
  <si>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</si>
  <si>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</si>
  <si>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</si>
  <si>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</si>
  <si>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</si>
  <si>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</si>
  <si>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</si>
  <si>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</si>
  <si>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</si>
  <si>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</si>
  <si>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</si>
  <si>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</si>
  <si>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</si>
  <si>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</si>
  <si>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</si>
  <si>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</si>
  <si>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</si>
  <si>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</si>
  <si>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</si>
  <si>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</si>
  <si>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</si>
  <si>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</si>
  <si>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</si>
  <si>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</si>
  <si>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</si>
  <si>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</si>
  <si>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</si>
  <si>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</si>
  <si>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</si>
  <si>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</si>
  <si>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</si>
  <si>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</si>
  <si>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</si>
  <si>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</si>
  <si>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</si>
  <si>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</si>
  <si>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</si>
  <si>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</si>
  <si>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</si>
  <si>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</si>
  <si>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</si>
  <si>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</si>
  <si>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</si>
  <si>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</si>
  <si>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</si>
  <si>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</si>
  <si>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</si>
  <si>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</si>
  <si>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</si>
  <si>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</si>
  <si>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</si>
  <si>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</si>
  <si>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</si>
  <si>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</si>
  <si>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</si>
  <si>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</si>
  <si>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</si>
  <si>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</si>
  <si>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</si>
  <si>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</si>
  <si>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</si>
  <si>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</si>
  <si>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</si>
  <si>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</si>
  <si>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</si>
  <si>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</si>
  <si>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</si>
  <si>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</si>
  <si>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</si>
  <si>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</si>
  <si>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</si>
  <si>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</si>
  <si>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</si>
  <si>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</si>
  <si>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</si>
  <si>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</si>
  <si>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</si>
  <si>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</si>
  <si>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</si>
  <si>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</si>
  <si>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</si>
  <si>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</si>
  <si>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</si>
  <si>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</si>
  <si>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</si>
  <si>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</si>
  <si>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</si>
  <si>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</si>
  <si>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</si>
  <si>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</si>
  <si>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</si>
  <si>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</si>
  <si>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</si>
  <si>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</si>
  <si>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</si>
  <si>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</si>
  <si>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</si>
  <si>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</si>
  <si>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</si>
  <si>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</si>
  <si>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</si>
  <si>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</si>
  <si>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</si>
  <si>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</si>
  <si>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</si>
  <si>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</si>
  <si>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</si>
  <si>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</si>
  <si>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</si>
  <si>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</si>
  <si>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</si>
  <si>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</si>
  <si>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</si>
  <si>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</si>
  <si>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</si>
  <si>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</si>
  <si>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</si>
  <si>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</si>
  <si>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</si>
  <si>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</si>
  <si>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</si>
  <si>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</si>
  <si>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</si>
  <si>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</si>
  <si>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</si>
  <si>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</si>
  <si>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</si>
  <si>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</si>
  <si>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</si>
  <si>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</si>
  <si>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</si>
  <si>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</si>
  <si>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</si>
  <si>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</si>
  <si>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</si>
  <si>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</si>
  <si>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</si>
  <si>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</si>
  <si>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</si>
  <si>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</si>
  <si>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</si>
  <si>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</si>
  <si>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</si>
  <si>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</si>
  <si>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</si>
  <si>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</si>
  <si>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</si>
  <si>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</si>
  <si>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</si>
  <si>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</si>
  <si>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</si>
  <si>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</si>
  <si>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</si>
  <si>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</si>
  <si>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</si>
  <si>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</si>
  <si>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</si>
  <si>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</si>
  <si>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</si>
  <si>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</si>
  <si>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</si>
  <si>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</si>
  <si>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</si>
  <si>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</si>
  <si>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</si>
  <si>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</si>
  <si>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</si>
  <si>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</si>
  <si>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</si>
  <si>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</si>
  <si>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</si>
  <si>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</si>
  <si>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</si>
  <si>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</si>
  <si>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</si>
  <si>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</si>
  <si>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</si>
  <si>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</si>
  <si>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</si>
  <si>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</si>
  <si>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</si>
  <si>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</si>
  <si>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</si>
  <si>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</si>
  <si>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</si>
  <si>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</si>
  <si>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</si>
  <si>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</si>
  <si>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</si>
  <si>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</si>
  <si>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</si>
  <si>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</si>
  <si>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</si>
  <si>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</si>
  <si>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</si>
  <si>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</si>
  <si>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</si>
  <si>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</si>
  <si>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</si>
  <si>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</si>
  <si>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</si>
  <si>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</si>
  <si>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</si>
  <si>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</si>
  <si>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</si>
  <si>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</si>
  <si>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</si>
  <si>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</si>
  <si>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</si>
  <si>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</si>
  <si>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</si>
  <si>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</si>
  <si>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</si>
  <si>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</si>
  <si>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</si>
  <si>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</si>
  <si>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</si>
  <si>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</si>
  <si>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</si>
  <si>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</si>
  <si>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</si>
  <si>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</si>
  <si>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</si>
  <si>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</si>
  <si>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</si>
  <si>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</si>
  <si>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</si>
  <si>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</si>
  <si>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</si>
  <si>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</si>
  <si>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</si>
  <si>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</si>
  <si>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</si>
  <si>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</si>
  <si>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</si>
  <si>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</si>
  <si>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</si>
  <si>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</si>
  <si>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</si>
  <si>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</si>
  <si>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</si>
  <si>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</si>
  <si>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</si>
  <si>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</si>
  <si>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</si>
  <si>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</si>
  <si>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</si>
  <si>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</si>
  <si>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</si>
  <si>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</si>
  <si>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</si>
  <si>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</si>
  <si>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</si>
  <si>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</si>
  <si>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</si>
  <si>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</si>
  <si>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</si>
  <si>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</si>
  <si>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</si>
  <si>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</si>
  <si>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</si>
  <si>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</si>
  <si>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</si>
  <si>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</si>
  <si>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</si>
  <si>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</si>
  <si>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</si>
  <si>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</si>
  <si>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</si>
  <si>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</si>
  <si>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</si>
  <si>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</si>
  <si>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</si>
  <si>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</si>
  <si>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</si>
  <si>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</si>
  <si>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</si>
  <si>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</si>
  <si>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</si>
  <si>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</si>
  <si>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</si>
  <si>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</si>
  <si>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</si>
  <si>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</si>
  <si>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</si>
  <si>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</si>
  <si>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</si>
  <si>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</si>
  <si>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</si>
  <si>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</si>
  <si>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</si>
  <si>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</si>
  <si>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</si>
  <si>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</si>
  <si>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</si>
  <si>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</si>
  <si>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</si>
  <si>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</si>
  <si>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</si>
  <si>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</si>
  <si>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</si>
  <si>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</si>
  <si>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</si>
  <si>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</si>
  <si>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</si>
  <si>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</si>
  <si>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</si>
  <si>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</si>
  <si>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</si>
  <si>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</si>
  <si>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</si>
  <si>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</si>
  <si>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</si>
  <si>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</si>
  <si>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</si>
  <si>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</si>
  <si>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</si>
  <si>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Colunas A e B: TecSolarSP, preco de MATERIAL. Colunas C a F: preco INSTALADO. Coluna G reservada. A linha 31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</si>
  <si>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</si>
  <si>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</si>
  <si>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</si>
  <si>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</si>
  <si>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</si>
  <si>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</si>
  <si>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</si>
  <si>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</si>
  <si>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</si>
  <si>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</si>
  <si>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Bruno G4
(a receber)</t>
  </si>
  <si>
    <t xml:space="preserve">OBSERVACOES / ALERTAS</t>
  </si>
  <si>
    <t xml:space="preserve">Fornecedor / contato</t>
  </si>
  <si>
    <t xml:space="preserve">TecSolarSP (11) 97365-9192</t>
  </si>
  <si>
    <t xml:space="preserve">SunWash - Yuri (16) 99353-4346</t>
  </si>
  <si>
    <t xml:space="preserve">William (11) 99636-5333</t>
  </si>
  <si>
    <t xml:space="preserve">Sun Coast - Alexandre (11) 91544-8947</t>
  </si>
  <si>
    <t xml:space="preserve">Sfero - indic. Renato (11) 99705-1311</t>
  </si>
  <si>
    <t xml:space="preserve">Bruno G4 (11) 96861-7830</t>
  </si>
  <si>
    <t xml:space="preserve">Seis orcamentos de cinco empresas diferentes. O Bruno G4 ainda nao enviou nada.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</si>
  <si>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</si>
  <si>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</si>
  <si>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</si>
  <si>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</si>
  <si>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</si>
  <si>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ALERTA: SunWash e William nao informaram CNPJ. Sem CNPJ nao existe garantia exigivel. Sun Coast e a unica que trouxe CNPJ na propria proposta.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</si>
  <si>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</si>
  <si>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</si>
  <si>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</si>
  <si>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</si>
  <si>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</si>
  <si>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</si>
  <si>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</si>
  <si>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</si>
  <si>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</si>
  <si>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Nada recebido</t>
  </si>
  <si>
    <t xml:space="preserve">ALERTA: orcamento por WhatsApp nao e proposta comercial. So Sun Coast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</si>
  <si>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</si>
  <si>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</si>
  <si>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</si>
  <si>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</si>
  <si>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28 a 30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</si>
  <si>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</si>
  <si>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</si>
  <si>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</si>
  <si>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'620kw', erro de digitacao para 620 W.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</si>
  <si>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</si>
  <si>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</si>
  <si>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</si>
  <si>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</si>
  <si>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</si>
  <si>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</si>
  <si>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Nao informado (650 W)</t>
  </si>
  <si>
    <t xml:space="preserve">Longi ou DAH Solar (Tier 1 de verdade)</t>
  </si>
  <si>
    <t xml:space="preserve">TCL Solar bifacial N-type 132 cel</t>
  </si>
  <si>
    <t xml:space="preserve">ALERTA: Maxeon do William e PERC, uma geracao atras. TCL e RONMA sao marcas com pouquissima rede de assistencia de modulo no Brasil - exigir INMETRO e quem honra a garantia aqui.</t>
  </si>
  <si>
    <t xml:space="preserve">POTENCIA DC (kWp)</t>
  </si>
  <si>
    <t xml:space="preserve">Quantidade x potencia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</si>
  <si>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</si>
  <si>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</si>
  <si>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</si>
  <si>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</si>
  <si>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</si>
  <si>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</si>
  <si>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MICROINVERSOR 2,25 kW = 9,0 kW AC</t>
  </si>
  <si>
    <t xml:space="preserve">2x microinversor 2,5 kW = 5,0 kW AC - Solis ou Growatt</t>
  </si>
  <si>
    <t xml:space="preserve">AUXSOL 7,5 kW mono 220V 2 MPPT (100% over)</t>
  </si>
  <si>
    <t xml:space="preserve">ALERTA: AUXSOL tem baixa penetracao no Brasil. Huawei e Solis tem assistencia estabelecida.</t>
  </si>
  <si>
    <t xml:space="preserve">Potencia AC do inversor (kW)</t>
  </si>
  <si>
    <t xml:space="preserve">Exigir o codigo exato do modelo e a confirmacao de que e 220 V.</t>
  </si>
  <si>
    <t xml:space="preserve">Numero de MPPTs</t>
  </si>
  <si>
    <t xml:space="preserve">2</t>
  </si>
  <si>
    <t xml:space="preserve">a confirmar</t>
  </si>
  <si>
    <t xml:space="preserve">1</t>
  </si>
  <si>
    <t xml:space="preserve">1 por modulo (10 MPPTs)</t>
  </si>
  <si>
    <t xml:space="preserve">ALERTA: Sun Coast usa 1 MPPT UNICO - os 8 modulos numa string so, exigindo mesma agua e mesma inclinacao, e sombra em 1 modulo derruba tudo. NO OUTRO EXTREMO, a opcao G com microinversor da 1 MPPT POR MODULO: sombra em um modulo nao afeta os outros e da liberdade de usar mais de uma agua do telhado.</t>
  </si>
  <si>
    <t xml:space="preserve">RELACAO DC/AC</t>
  </si>
  <si>
    <t xml:space="preserve">ALERTA: faixa saudavel de 1,10 a 1,35. Sun Coast em 1,56 = acima do limite, com clipping e risco de perder a garantia. William em 1,34, no limite. Opcao G em 0,72 = o oposto: 4 microinversores de 2,25 kW dao 9 kW AC para so 6,5 kWp. PERGUNTAR ao Yuri quantos modulos cada micro aceita - se sao 4, existem 6 canais livres para expansao futura; se nao, voce esta pagando por um micro a mais.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</si>
  <si>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</si>
  <si>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</si>
  <si>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</si>
  <si>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</si>
  <si>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</si>
  <si>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</si>
  <si>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</si>
  <si>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</si>
  <si>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</si>
  <si>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 e Sun Coast dizem COLONIAL, TecSolarSP diz FIBROCIMENTO. Dois contra um: provavelmente a TecSolarSP errou a estrutura inteira. RESOLVER isso antes de qualquer compra.</t>
  </si>
  <si>
    <t xml:space="preserve">Area de telhado necessaria (m2)</t>
  </si>
  <si>
    <t xml:space="preserve">Valores em azul foram DECLARADOS pelo fornecedor; os demais sao estimados a 0,00452 m2 por watt (calibrado pelas areas declaradas).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</si>
  <si>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</si>
  <si>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</si>
  <si>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12 anos produto / 25 anos eficiencia</t>
  </si>
  <si>
    <t xml:space="preserve">So a Sun Coast declarou garantias na proposta. Dos outros, exigir por escrito.</t>
  </si>
  <si>
    <t xml:space="preserve">Garantia declarada do inversor</t>
  </si>
  <si>
    <t xml:space="preserve">10 a 25 anos</t>
  </si>
  <si>
    <t xml:space="preserve">7 a 10 anos</t>
  </si>
  <si>
    <t xml:space="preserve">'10 a 25 anos' da Sun Coast e vago: exigir o numero exato para o modelo cotado.</t>
  </si>
  <si>
    <t xml:space="preserve">Garantia declarada do servico</t>
  </si>
  <si>
    <t xml:space="preserve">12 meses</t>
  </si>
  <si>
    <t xml:space="preserve">1 ano instalacao + SEGURO ALL RISK 1 ano + GARANTIA DE PERFORMANCE EM CONTRATO</t>
  </si>
  <si>
    <t xml:space="preserve">12 meses de servico e o minimo de mercado.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</si>
  <si>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</si>
  <si>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</si>
  <si>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</si>
  <si>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</si>
  <si>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ALERTA: a Sun Coast exclui EXPLICITAMENTE a adequacao do padrao de entrada, obras no telhado, eletrodutos e o ART estrutural. E honesto ao declarar, mas o custo e seu. Os outros nao declararam exclusoes - o que nao significa que estejam inclusas.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</si>
  <si>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</si>
  <si>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</si>
  <si>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</si>
  <si>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</si>
  <si>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</si>
  <si>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</si>
  <si>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</si>
  <si>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</si>
  <si>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ATENCAO: 18x SEM JUROS pelo mesmo valor a vista e uma vantagem financeira REAL - equivale a um desconto, porque o dinheiro fica rendendo na sua mao. Todas as outras oferecem parcelamento COM juros.</t>
  </si>
  <si>
    <t xml:space="preserve">PRECOS</t>
  </si>
  <si>
    <t xml:space="preserve">Preco BASE informado (R$)</t>
  </si>
  <si>
    <t xml:space="preserve">A, B e E: valor do KIT/material (cotacoes Belenergy). C, D e F: projeto completo, ja com instalacao - por isso as linhas 28 e 29 ficam zeradas nelas.</t>
  </si>
  <si>
    <t xml:space="preserve">Acrescimo regional a confirmar (R$)</t>
  </si>
  <si>
    <t xml:space="preserve">ALERTA: a SunWash citou +R$ 1.800 pela sua regiao no kit Intelbras e nao repetiu no orcamento TCL.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</si>
  <si>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</si>
  <si>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 C, D e F declaram homologacao inclusa.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</si>
  <si>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</si>
  <si>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</si>
  <si>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</si>
  <si>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seis incluiu, e a Sun Coast exclui por escrito.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</si>
  <si>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</si>
  <si>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</si>
  <si>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</si>
  <si>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</si>
  <si>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</si>
  <si>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</si>
  <si>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</si>
  <si>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</si>
  <si>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</si>
  <si>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</si>
  <si>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</si>
  <si>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</si>
  <si>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</si>
  <si>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</si>
  <si>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 na peca da TecSolarSP. C e D: 700 kWh/mes x 12. E: 6.151. F: 6.367,50 (530,62 x 12). B: nao informada.</t>
  </si>
  <si>
    <t xml:space="preserve">DESVIO DA PROMESSA</t>
  </si>
  <si>
    <t xml:space="preserve">ALERTA: negativo = o vendedor promete mais do que o telhado entrega. Positivo = foi conservador.</t>
  </si>
  <si>
    <t xml:space="preserve">Geracao se o telhado fosse NORTE (kWh)</t>
  </si>
  <si>
    <t xml:space="preserve">Compare com a linha 39: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</si>
  <si>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</si>
  <si>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</si>
  <si>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</si>
  <si>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</si>
  <si>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</si>
  <si>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</si>
  <si>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</si>
  <si>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</si>
  <si>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</si>
  <si>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</si>
  <si>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</si>
  <si>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(kW) e corrente em 220 V</t>
  </si>
  <si>
    <t xml:space="preserve">ALERTA POUCO OBVIO: a potencia declarada a Enel e a do INVERSOR (AC), nao a dos modulos. Quanto maior, maior o disjuntor e o padrao exigidos - e mais caro fica o item da linha 30. Sfero com 5 kW e a menos exigente; a opcao G com 9 kW AC e a mais exigente.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</si>
  <si>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</si>
  <si>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</si>
  <si>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</si>
  <si>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</si>
  <si>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</si>
  <si>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</si>
  <si>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</si>
  <si>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</si>
  <si>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</si>
  <si>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</si>
  <si>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linha 61.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</si>
  <si>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</si>
  <si>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</si>
  <si>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</si>
  <si>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</si>
  <si>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</si>
  <si>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</si>
  <si>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</si>
  <si>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</si>
  <si>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</si>
  <si>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Solis 4 kW e os AUXSOL de 5 e 3 kW nao aceitam nenhum modulo a mais. A e B tem folga minima (1 modulo). A opcao G com microinversores e a unica com folga real - mas o limite verdadeiro e o numero de CANAIS livres nos micros, nao a potencia. CONFIRMAR com o Yuri.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</si>
  <si>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</si>
  <si>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</si>
  <si>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voce pagou por potencia de inversor que nao vai usar - aceitavel se for folga proposital para expansao, ruim se for so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</si>
  <si>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</si>
  <si>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</si>
  <si>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</si>
  <si>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</si>
  <si>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</si>
  <si>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</si>
  <si>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</si>
  <si>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</si>
  <si>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a Sun Coast tem payback parecido com o da SunWash, mas o sistema e 25% menor.</t>
  </si>
  <si>
    <t xml:space="preserve">Payback ignora a energia que voce NAO compensou. Um sistema pequeno se paga rapido e depois te deixa pagando conta para sempre.</t>
  </si>
  <si>
    <t xml:space="preserve">Por isso a linha 61 (lucro em 20 anos) e o criterio correto, e nao a linha 57.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</si>
  <si>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</si>
  <si>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</si>
  <si>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</si>
  <si>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</si>
  <si>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</si>
  <si>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</si>
  <si>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</si>
  <si>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</si>
  <si>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</si>
  <si>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</si>
  <si>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</si>
  <si>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</si>
  <si>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</si>
  <si>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</si>
  <si>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</si>
  <si>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</si>
  <si>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</si>
  <si>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</si>
  <si>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</si>
  <si>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</si>
  <si>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</si>
  <si>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</si>
  <si>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</si>
  <si>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</si>
  <si>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</si>
  <si>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</si>
  <si>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</si>
  <si>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</si>
  <si>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</si>
  <si>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</si>
  <si>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</si>
  <si>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</si>
  <si>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</si>
  <si>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</si>
  <si>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</si>
  <si>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</si>
  <si>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</si>
  <si>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</si>
  <si>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</si>
  <si>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</si>
  <si>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</si>
  <si>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</si>
  <si>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</si>
  <si>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</si>
  <si>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</si>
  <si>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</si>
  <si>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</si>
  <si>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</si>
  <si>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</si>
  <si>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</si>
  <si>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</si>
  <si>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</si>
  <si>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</si>
  <si>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</si>
  <si>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</si>
  <si>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</si>
  <si>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</si>
  <si>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</si>
  <si>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</si>
  <si>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</si>
  <si>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</si>
  <si>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</si>
  <si>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</si>
  <si>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</si>
  <si>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</si>
  <si>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</si>
  <si>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</si>
  <si>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</si>
  <si>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</si>
  <si>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</si>
  <si>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</si>
  <si>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</si>
  <si>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</si>
  <si>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</si>
  <si>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</si>
  <si>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</si>
  <si>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</si>
  <si>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</si>
  <si>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</si>
  <si>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</si>
  <si>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</si>
  <si>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</si>
  <si>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</si>
  <si>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</si>
  <si>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</si>
  <si>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</si>
  <si>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</si>
  <si>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</si>
  <si>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</si>
  <si>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</si>
  <si>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</si>
  <si>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</si>
  <si>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</si>
  <si>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</si>
  <si>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</si>
  <si>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</si>
  <si>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</si>
  <si>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</si>
  <si>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</si>
  <si>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</si>
  <si>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</si>
  <si>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</si>
  <si>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</si>
  <si>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</si>
  <si>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</si>
  <si>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</si>
  <si>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</si>
  <si>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</si>
  <si>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</si>
  <si>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</si>
  <si>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</si>
  <si>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</si>
  <si>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</si>
  <si>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</si>
  <si>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</si>
  <si>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</si>
  <si>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</si>
  <si>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</si>
  <si>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</si>
  <si>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</si>
  <si>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</si>
  <si>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</si>
  <si>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</si>
  <si>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</si>
  <si>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</si>
  <si>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</si>
  <si>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</si>
  <si>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</si>
  <si>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</si>
  <si>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</si>
  <si>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</si>
  <si>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</si>
  <si>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</si>
  <si>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</si>
  <si>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</si>
  <si>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</si>
  <si>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</si>
  <si>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</si>
  <si>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</si>
  <si>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</si>
  <si>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</si>
  <si>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</si>
  <si>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</si>
  <si>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</si>
  <si>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</si>
  <si>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</si>
  <si>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</si>
  <si>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</si>
  <si>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</si>
  <si>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</si>
  <si>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</si>
  <si>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</si>
  <si>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</si>
  <si>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</si>
  <si>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</si>
  <si>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</si>
  <si>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</si>
  <si>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</si>
  <si>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</si>
  <si>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</si>
  <si>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</si>
  <si>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</si>
  <si>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</si>
  <si>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</si>
  <si>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</si>
  <si>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</si>
  <si>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</si>
  <si>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</si>
  <si>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</si>
  <si>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</si>
  <si>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</si>
  <si>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</si>
  <si>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</si>
  <si>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</si>
  <si>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</si>
  <si>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</si>
  <si>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</si>
  <si>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</si>
  <si>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</si>
  <si>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</si>
  <si>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</si>
  <si>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</si>
  <si>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</si>
  <si>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</si>
  <si>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</si>
  <si>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</si>
  <si>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</si>
  <si>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</si>
  <si>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</si>
  <si>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</si>
  <si>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</si>
  <si>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</si>
  <si>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</si>
  <si>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</si>
  <si>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</si>
  <si>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</si>
  <si>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</si>
  <si>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</si>
  <si>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</si>
  <si>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</si>
  <si>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</si>
  <si>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</si>
  <si>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</si>
  <si>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</si>
  <si>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</si>
  <si>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</si>
  <si>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</si>
  <si>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</si>
  <si>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</si>
  <si>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</si>
  <si>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</si>
  <si>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</si>
  <si>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</si>
  <si>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</si>
  <si>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</si>
  <si>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</si>
  <si>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</si>
  <si>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</si>
  <si>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</si>
  <si>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</si>
  <si>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</si>
  <si>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</si>
  <si>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</si>
  <si>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</si>
  <si>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</si>
  <si>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</si>
  <si>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</si>
  <si>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</si>
  <si>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</si>
  <si>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</si>
  <si>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</si>
  <si>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</si>
  <si>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</si>
  <si>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</si>
  <si>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</si>
  <si>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</si>
  <si>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</si>
  <si>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</si>
  <si>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</si>
  <si>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</si>
  <si>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</si>
  <si>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</si>
  <si>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</si>
  <si>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</si>
  <si>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</si>
  <si>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</si>
  <si>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QUAL A MARCA E O MODELO DOS 4 MICROINVERSORES? Deye, Hoymiles, APsystems e Sungrow tem rede no Brasil. Marca desconhecida em microinversor e pior que em inversor string, porque sao 4 equipamentos DEBAIXO dos modulos: trocar um exige desmontar placa.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</si>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</sst>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19</v>
      </c>
    </row>
    <row r="23" customFormat="false" ht="15" hidden="false" customHeight="false" outlineLevel="0" collapsed="false">
      <c r="B23" s="5" t="s">
        <v>20</v>
      </c>
    </row>
    <row r="24" customFormat="false" ht="15" hidden="false" customHeight="false" outlineLevel="0" collapsed="false">
      <c r="B24" s="4" t="s">
        <v>21</v>
      </c>
    </row>
    <row r="25" customFormat="false" ht="15" hidden="false" customHeight="false" outlineLevel="0" collapsed="false">
      <c r="B25" s="4" t="s">
        <v>22</v>
      </c>
    </row>
    <row r="26" customFormat="false" ht="15" hidden="false" customHeight="false" outlineLevel="0" collapsed="false">
      <c r="B26" s="4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5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4" t="s">
        <v>28</v>
      </c>
    </row>
    <row r="32" customFormat="false" ht="15" hidden="false" customHeight="false" outlineLevel="0" collapsed="false">
      <c r="B32" s="5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4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/>
    </row>
    <row r="38" customFormat="false" ht="15" hidden="false" customHeight="false" outlineLevel="0" collapsed="false">
      <c r="B38" s="3" t="s">
        <v>34</v>
      </c>
    </row>
    <row r="39" customFormat="false" ht="15" hidden="false" customHeight="false" outlineLevel="0" collapsed="false">
      <c r="B39" s="4" t="s">
        <v>35</v>
      </c>
    </row>
    <row r="40" customFormat="false" ht="15" hidden="false" customHeight="false" outlineLevel="0" collapsed="false">
      <c r="B40" s="4" t="s">
        <v>36</v>
      </c>
    </row>
    <row r="41" customFormat="false" ht="15" hidden="false" customHeight="false" outlineLevel="0" collapsed="false">
      <c r="B41" s="4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/>
    </row>
    <row r="44" customFormat="false" ht="15" hidden="false" customHeight="false" outlineLevel="0" collapsed="false">
      <c r="B44" s="3" t="s">
        <v>39</v>
      </c>
    </row>
    <row r="45" customFormat="false" ht="15" hidden="false" customHeight="false" outlineLevel="0" collapsed="false">
      <c r="B45" s="4" t="s">
        <v>40</v>
      </c>
    </row>
    <row r="46" customFormat="false" ht="15" hidden="false" customHeight="false" outlineLevel="0" collapsed="false">
      <c r="B46" s="4" t="s">
        <v>41</v>
      </c>
    </row>
    <row r="47" customFormat="false" ht="15" hidden="false" customHeight="false" outlineLevel="0" collapsed="false">
      <c r="B47" s="4" t="s">
        <v>42</v>
      </c>
    </row>
    <row r="48" customFormat="false" ht="15" hidden="false" customHeight="false" outlineLevel="0" collapsed="false">
      <c r="B48" s="4"/>
    </row>
    <row r="49" customFormat="false" ht="15" hidden="false" customHeight="false" outlineLevel="0" collapsed="false">
      <c r="B49" s="3" t="s">
        <v>43</v>
      </c>
    </row>
    <row r="50" customFormat="false" ht="15" hidden="false" customHeight="false" outlineLevel="0" collapsed="false">
      <c r="B50" s="6" t="s">
        <v>44</v>
      </c>
    </row>
    <row r="51" customFormat="false" ht="15" hidden="false" customHeight="false" outlineLevel="0" collapsed="false">
      <c r="B51" s="4" t="s">
        <v>45</v>
      </c>
    </row>
    <row r="52" customFormat="false" ht="15" hidden="false" customHeight="false" outlineLevel="0" collapsed="false">
      <c r="B52" s="4"/>
    </row>
    <row r="53" customFormat="false" ht="15" hidden="false" customHeight="false" outlineLevel="0" collapsed="false">
      <c r="B53" s="3" t="s">
        <v>46</v>
      </c>
    </row>
    <row r="54" customFormat="false" ht="15" hidden="false" customHeight="false" outlineLevel="0" collapsed="false">
      <c r="B54" s="4" t="s">
        <v>47</v>
      </c>
    </row>
    <row r="55" customFormat="false" ht="15" hidden="false" customHeight="false" outlineLevel="0" collapsed="false">
      <c r="B55" s="4" t="s">
        <v>48</v>
      </c>
    </row>
    <row r="56" customFormat="false" ht="15" hidden="false" customHeight="false" outlineLevel="0" collapsed="false">
      <c r="B56" s="5" t="s">
        <v>49</v>
      </c>
    </row>
    <row r="57" customFormat="false" ht="15" hidden="false" customHeight="false" outlineLevel="0" collapsed="false">
      <c r="B57" s="5" t="s">
        <v>50</v>
      </c>
    </row>
    <row r="58" customFormat="false" ht="15" hidden="false" customHeight="false" outlineLevel="0" collapsed="false">
      <c r="B58" s="5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4"/>
    </row>
    <row r="61" customFormat="false" ht="15" hidden="false" customHeight="false" outlineLevel="0" collapsed="false">
      <c r="B61" s="3" t="s">
        <v>53</v>
      </c>
    </row>
    <row r="62" customFormat="false" ht="15" hidden="false" customHeight="false" outlineLevel="0" collapsed="false">
      <c r="B62" s="4" t="s">
        <v>54</v>
      </c>
    </row>
    <row r="63" customFormat="false" ht="15" hidden="false" customHeight="false" outlineLevel="0" collapsed="false">
      <c r="B63" s="4" t="s">
        <v>55</v>
      </c>
    </row>
    <row r="64" customFormat="false" ht="15" hidden="false" customHeight="false" outlineLevel="0" collapsed="false">
      <c r="B64" s="4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/>
    </row>
    <row r="75" customFormat="false" ht="15" hidden="false" customHeight="false" outlineLevel="0" collapsed="false">
      <c r="B75" s="3" t="s">
        <v>66</v>
      </c>
    </row>
    <row r="76" customFormat="false" ht="15" hidden="false" customHeight="false" outlineLevel="0" collapsed="false">
      <c r="B76" s="4" t="s">
        <v>67</v>
      </c>
    </row>
    <row r="77" customFormat="false" ht="15" hidden="false" customHeight="false" outlineLevel="0" collapsed="false">
      <c r="B77" s="4" t="s">
        <v>68</v>
      </c>
    </row>
    <row r="78" customFormat="false" ht="15" hidden="false" customHeight="false" outlineLevel="0" collapsed="false">
      <c r="B78" s="4" t="s">
        <v>69</v>
      </c>
    </row>
    <row r="79" customFormat="false" ht="15" hidden="false" customHeight="false" outlineLevel="0" collapsed="false">
      <c r="B79" s="4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B4" s="7" t="s">
        <v>73</v>
      </c>
      <c r="C4" s="8"/>
      <c r="D4" s="8"/>
      <c r="E4" s="8"/>
    </row>
    <row r="5" customFormat="false" ht="15" hidden="false" customHeight="false" outlineLevel="0" collapsed="false">
      <c r="B5" s="4" t="s">
        <v>74</v>
      </c>
      <c r="C5" s="9" t="s">
        <v>75</v>
      </c>
      <c r="D5" s="2"/>
      <c r="E5" s="2" t="s">
        <v>76</v>
      </c>
    </row>
    <row r="6" customFormat="false" ht="15" hidden="false" customHeight="false" outlineLevel="0" collapsed="false">
      <c r="B6" s="4" t="s">
        <v>77</v>
      </c>
      <c r="C6" s="9" t="s">
        <v>78</v>
      </c>
      <c r="D6" s="2"/>
      <c r="E6" s="10" t="s">
        <v>79</v>
      </c>
    </row>
    <row r="7" customFormat="false" ht="15" hidden="false" customHeight="false" outlineLevel="0" collapsed="false">
      <c r="B7" s="4" t="s">
        <v>80</v>
      </c>
      <c r="C7" s="9" t="s">
        <v>81</v>
      </c>
      <c r="D7" s="2"/>
      <c r="E7" s="2" t="s">
        <v>82</v>
      </c>
    </row>
    <row r="8" customFormat="false" ht="15" hidden="false" customHeight="false" outlineLevel="0" collapsed="false">
      <c r="B8" s="4" t="s">
        <v>83</v>
      </c>
      <c r="C8" s="9" t="s">
        <v>84</v>
      </c>
      <c r="D8" s="2"/>
      <c r="E8" s="2" t="s">
        <v>85</v>
      </c>
    </row>
    <row r="9" customFormat="false" ht="15" hidden="false" customHeight="false" outlineLevel="0" collapsed="false">
      <c r="B9" s="4" t="s">
        <v>86</v>
      </c>
      <c r="C9" s="11" t="n">
        <v>20</v>
      </c>
      <c r="D9" s="2" t="s">
        <v>87</v>
      </c>
      <c r="E9" s="2" t="s">
        <v>88</v>
      </c>
    </row>
    <row r="10" customFormat="false" ht="15" hidden="false" customHeight="false" outlineLevel="0" collapsed="false">
      <c r="B10" s="4" t="s">
        <v>89</v>
      </c>
      <c r="C10" s="9" t="s">
        <v>90</v>
      </c>
      <c r="D10" s="2"/>
      <c r="E10" s="10" t="s">
        <v>91</v>
      </c>
    </row>
    <row r="11" customFormat="false" ht="15" hidden="false" customHeight="false" outlineLevel="0" collapsed="false">
      <c r="B11" s="4" t="s">
        <v>92</v>
      </c>
      <c r="C11" s="9" t="s">
        <v>93</v>
      </c>
      <c r="D11" s="2"/>
      <c r="E11" s="2" t="s">
        <v>94</v>
      </c>
    </row>
    <row r="13" customFormat="false" ht="15" hidden="false" customHeight="false" outlineLevel="0" collapsed="false">
      <c r="B13" s="7" t="s">
        <v>95</v>
      </c>
      <c r="C13" s="8"/>
      <c r="D13" s="8"/>
      <c r="E13" s="8"/>
    </row>
    <row r="14" customFormat="false" ht="15" hidden="false" customHeight="false" outlineLevel="0" collapsed="false">
      <c r="B14" s="4" t="s">
        <v>96</v>
      </c>
      <c r="C14" s="9" t="s">
        <v>97</v>
      </c>
      <c r="D14" s="2"/>
      <c r="E14" s="2" t="s">
        <v>98</v>
      </c>
    </row>
    <row r="15" customFormat="false" ht="15" hidden="false" customHeight="false" outlineLevel="0" collapsed="false">
      <c r="B15" s="4" t="s">
        <v>99</v>
      </c>
      <c r="C15" s="11" t="n">
        <v>1</v>
      </c>
      <c r="D15" s="2" t="s">
        <v>100</v>
      </c>
      <c r="E15" s="2" t="s">
        <v>101</v>
      </c>
    </row>
    <row r="16" customFormat="false" ht="15" hidden="false" customHeight="false" outlineLevel="0" collapsed="false">
      <c r="B16" s="4" t="s">
        <v>102</v>
      </c>
      <c r="C16" s="11" t="n">
        <v>2</v>
      </c>
      <c r="D16" s="2" t="s">
        <v>100</v>
      </c>
      <c r="E16" s="10" t="s">
        <v>103</v>
      </c>
    </row>
    <row r="17" customFormat="false" ht="15" hidden="false" customHeight="false" outlineLevel="0" collapsed="false">
      <c r="B17" s="4" t="s">
        <v>104</v>
      </c>
      <c r="C17" s="12" t="n">
        <f aca="false">IF(C16=1,30,IF(C16=2,50,100))</f>
        <v>50</v>
      </c>
      <c r="D17" s="2" t="s">
        <v>105</v>
      </c>
      <c r="E17" s="2" t="s">
        <v>106</v>
      </c>
    </row>
    <row r="18" customFormat="false" ht="15" hidden="false" customHeight="false" outlineLevel="0" collapsed="false">
      <c r="B18" s="4" t="s">
        <v>107</v>
      </c>
      <c r="C18" s="13" t="n">
        <v>1.02147</v>
      </c>
      <c r="D18" s="2" t="s">
        <v>108</v>
      </c>
      <c r="E18" s="2" t="s">
        <v>109</v>
      </c>
    </row>
    <row r="19" customFormat="false" ht="15" hidden="false" customHeight="false" outlineLevel="0" collapsed="false">
      <c r="B19" s="4" t="s">
        <v>110</v>
      </c>
      <c r="C19" s="13" t="n">
        <v>0.59643</v>
      </c>
      <c r="D19" s="2" t="s">
        <v>108</v>
      </c>
      <c r="E19" s="2" t="s">
        <v>111</v>
      </c>
    </row>
    <row r="20" customFormat="false" ht="15" hidden="false" customHeight="false" outlineLevel="0" collapsed="false">
      <c r="B20" s="4" t="s">
        <v>112</v>
      </c>
      <c r="C20" s="13" t="n">
        <v>0.40085</v>
      </c>
      <c r="D20" s="2" t="s">
        <v>108</v>
      </c>
      <c r="E20" s="2" t="s">
        <v>113</v>
      </c>
    </row>
    <row r="21" customFormat="false" ht="15" hidden="false" customHeight="false" outlineLevel="0" collapsed="false">
      <c r="B21" s="4" t="s">
        <v>114</v>
      </c>
      <c r="C21" s="13" t="n">
        <v>0.02419</v>
      </c>
      <c r="D21" s="2" t="s">
        <v>108</v>
      </c>
      <c r="E21" s="2" t="s">
        <v>115</v>
      </c>
    </row>
    <row r="22" customFormat="false" ht="15" hidden="false" customHeight="false" outlineLevel="0" collapsed="false">
      <c r="B22" s="4" t="s">
        <v>116</v>
      </c>
      <c r="C22" s="14" t="n">
        <v>0.6</v>
      </c>
      <c r="D22" s="2"/>
      <c r="E22" s="10" t="s">
        <v>117</v>
      </c>
    </row>
    <row r="23" customFormat="false" ht="15" hidden="false" customHeight="false" outlineLevel="0" collapsed="false">
      <c r="B23" s="4" t="s">
        <v>118</v>
      </c>
      <c r="C23" s="15" t="n">
        <f aca="false">C19*C22</f>
        <v>0.357858</v>
      </c>
      <c r="D23" s="2" t="s">
        <v>108</v>
      </c>
      <c r="E23" s="2" t="s">
        <v>119</v>
      </c>
    </row>
    <row r="24" customFormat="false" ht="15" hidden="false" customHeight="false" outlineLevel="0" collapsed="false">
      <c r="B24" s="4" t="s">
        <v>120</v>
      </c>
      <c r="C24" s="14" t="n">
        <v>0.6</v>
      </c>
      <c r="D24" s="2"/>
      <c r="E24" s="2" t="s">
        <v>121</v>
      </c>
    </row>
    <row r="25" customFormat="false" ht="15" hidden="false" customHeight="false" outlineLevel="0" collapsed="false">
      <c r="B25" s="4" t="s">
        <v>122</v>
      </c>
      <c r="C25" s="15" t="n">
        <f aca="false">C23*C24</f>
        <v>0.2147148</v>
      </c>
      <c r="D25" s="2" t="s">
        <v>108</v>
      </c>
      <c r="E25" s="2" t="s">
        <v>123</v>
      </c>
    </row>
    <row r="26" customFormat="false" ht="15" hidden="false" customHeight="false" outlineLevel="0" collapsed="false">
      <c r="B26" s="4" t="s">
        <v>124</v>
      </c>
      <c r="C26" s="13" t="n">
        <v>21.11</v>
      </c>
      <c r="D26" s="2" t="s">
        <v>125</v>
      </c>
      <c r="E26" s="2" t="s">
        <v>126</v>
      </c>
    </row>
    <row r="27" customFormat="false" ht="15" hidden="false" customHeight="false" outlineLevel="0" collapsed="false">
      <c r="B27" s="4" t="s">
        <v>127</v>
      </c>
      <c r="C27" s="14" t="n">
        <v>0.07</v>
      </c>
      <c r="D27" s="2" t="s">
        <v>128</v>
      </c>
      <c r="E27" s="2" t="s">
        <v>129</v>
      </c>
    </row>
    <row r="28" customFormat="false" ht="15" hidden="false" customHeight="false" outlineLevel="0" collapsed="false">
      <c r="B28" s="4" t="s">
        <v>130</v>
      </c>
      <c r="C28" s="13" t="n">
        <v>2500</v>
      </c>
      <c r="D28" s="2" t="s">
        <v>131</v>
      </c>
      <c r="E28" s="10" t="s">
        <v>132</v>
      </c>
    </row>
    <row r="30" customFormat="false" ht="15" hidden="false" customHeight="false" outlineLevel="0" collapsed="false">
      <c r="B30" s="7" t="s">
        <v>133</v>
      </c>
      <c r="C30" s="8"/>
      <c r="D30" s="8"/>
      <c r="E30" s="8"/>
    </row>
    <row r="31" customFormat="false" ht="15" hidden="false" customHeight="false" outlineLevel="0" collapsed="false">
      <c r="B31" s="4" t="s">
        <v>134</v>
      </c>
      <c r="C31" s="14" t="n">
        <v>0.79</v>
      </c>
      <c r="D31" s="2"/>
      <c r="E31" s="2" t="s">
        <v>135</v>
      </c>
    </row>
    <row r="32" customFormat="false" ht="15" hidden="false" customHeight="false" outlineLevel="0" collapsed="false">
      <c r="B32" s="4" t="s">
        <v>136</v>
      </c>
      <c r="C32" s="14" t="n">
        <v>0.72</v>
      </c>
      <c r="D32" s="2"/>
      <c r="E32" s="2" t="s">
        <v>137</v>
      </c>
    </row>
    <row r="33" customFormat="false" ht="15" hidden="false" customHeight="false" outlineLevel="0" collapsed="false">
      <c r="B33" s="4" t="s">
        <v>138</v>
      </c>
      <c r="C33" s="14" t="n">
        <v>0.02</v>
      </c>
      <c r="D33" s="2"/>
      <c r="E33" s="2" t="s">
        <v>139</v>
      </c>
    </row>
    <row r="34" customFormat="false" ht="15" hidden="false" customHeight="false" outlineLevel="0" collapsed="false">
      <c r="B34" s="4" t="s">
        <v>140</v>
      </c>
      <c r="C34" s="14" t="n">
        <v>0.0045</v>
      </c>
      <c r="D34" s="2" t="s">
        <v>128</v>
      </c>
      <c r="E34" s="2" t="s">
        <v>141</v>
      </c>
    </row>
    <row r="35" customFormat="false" ht="15" hidden="false" customHeight="false" outlineLevel="0" collapsed="false">
      <c r="B35" s="4" t="s">
        <v>142</v>
      </c>
      <c r="C35" s="13" t="n">
        <v>300</v>
      </c>
      <c r="D35" s="2" t="s">
        <v>143</v>
      </c>
      <c r="E35" s="2" t="s">
        <v>144</v>
      </c>
    </row>
    <row r="36" customFormat="false" ht="15" hidden="false" customHeight="false" outlineLevel="0" collapsed="false">
      <c r="B36" s="4" t="s">
        <v>145</v>
      </c>
      <c r="C36" s="13" t="n">
        <v>150</v>
      </c>
      <c r="D36" s="2" t="s">
        <v>143</v>
      </c>
      <c r="E36" s="2" t="s">
        <v>146</v>
      </c>
    </row>
    <row r="37" customFormat="false" ht="15" hidden="false" customHeight="false" outlineLevel="0" collapsed="false">
      <c r="B37" s="4" t="s">
        <v>147</v>
      </c>
      <c r="C37" s="14" t="n">
        <v>0.3</v>
      </c>
      <c r="D37" s="2"/>
      <c r="E37" s="2" t="s">
        <v>148</v>
      </c>
    </row>
    <row r="39" customFormat="false" ht="15" hidden="false" customHeight="false" outlineLevel="0" collapsed="false">
      <c r="B39" s="7" t="s">
        <v>149</v>
      </c>
      <c r="C39" s="8"/>
      <c r="D39" s="8"/>
      <c r="E39" s="8"/>
    </row>
    <row r="40" customFormat="false" ht="15" hidden="false" customHeight="false" outlineLevel="0" collapsed="false">
      <c r="B40" s="4" t="s">
        <v>150</v>
      </c>
      <c r="C40" s="9" t="s">
        <v>151</v>
      </c>
      <c r="D40" s="2"/>
      <c r="E40" s="10" t="s">
        <v>152</v>
      </c>
    </row>
    <row r="41" customFormat="false" ht="15" hidden="false" customHeight="false" outlineLevel="0" collapsed="false">
      <c r="B41" s="4" t="s">
        <v>153</v>
      </c>
      <c r="C41" s="16" t="n">
        <v>18.3</v>
      </c>
      <c r="D41" s="2" t="s">
        <v>154</v>
      </c>
      <c r="E41" s="10" t="s">
        <v>155</v>
      </c>
    </row>
    <row r="42" customFormat="false" ht="15" hidden="false" customHeight="false" outlineLevel="0" collapsed="false">
      <c r="B42" s="4" t="s">
        <v>156</v>
      </c>
      <c r="C42" s="16" t="n">
        <v>17</v>
      </c>
      <c r="D42" s="2" t="s">
        <v>157</v>
      </c>
      <c r="E42" s="10" t="s">
        <v>158</v>
      </c>
    </row>
    <row r="43" customFormat="false" ht="15" hidden="false" customHeight="false" outlineLevel="0" collapsed="false">
      <c r="B43" s="4" t="s">
        <v>159</v>
      </c>
      <c r="C43" s="11" t="n">
        <v>40</v>
      </c>
      <c r="D43" s="2" t="s">
        <v>160</v>
      </c>
      <c r="E43" s="10" t="s">
        <v>161</v>
      </c>
    </row>
    <row r="44" customFormat="false" ht="15" hidden="false" customHeight="false" outlineLevel="0" collapsed="false">
      <c r="B44" s="4" t="s">
        <v>162</v>
      </c>
      <c r="C44" s="11" t="n">
        <v>26</v>
      </c>
      <c r="D44" s="2" t="s">
        <v>163</v>
      </c>
      <c r="E44" s="10" t="s">
        <v>164</v>
      </c>
    </row>
    <row r="45" customFormat="false" ht="15" hidden="false" customHeight="false" outlineLevel="0" collapsed="false">
      <c r="B45" s="4" t="s">
        <v>165</v>
      </c>
      <c r="C45" s="14" t="n">
        <v>0.86</v>
      </c>
      <c r="D45" s="2"/>
      <c r="E45" s="2" t="s">
        <v>166</v>
      </c>
    </row>
    <row r="46" customFormat="false" ht="15" hidden="false" customHeight="false" outlineLevel="0" collapsed="false">
      <c r="B46" s="4" t="s">
        <v>167</v>
      </c>
      <c r="C46" s="16" t="n">
        <v>3.3</v>
      </c>
      <c r="D46" s="2" t="s">
        <v>168</v>
      </c>
      <c r="E46" s="10" t="s">
        <v>169</v>
      </c>
    </row>
    <row r="47" customFormat="false" ht="15" hidden="false" customHeight="false" outlineLevel="0" collapsed="false">
      <c r="B47" s="4" t="s">
        <v>170</v>
      </c>
      <c r="C47" s="9" t="s">
        <v>151</v>
      </c>
      <c r="D47" s="2"/>
      <c r="E47" s="2" t="s">
        <v>171</v>
      </c>
    </row>
    <row r="48" customFormat="false" ht="15" hidden="false" customHeight="false" outlineLevel="0" collapsed="false">
      <c r="B48" s="4" t="s">
        <v>172</v>
      </c>
      <c r="C48" s="14" t="n">
        <v>0.15</v>
      </c>
      <c r="D48" s="2"/>
      <c r="E48" s="2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174</v>
      </c>
    </row>
    <row r="2" customFormat="false" ht="15" hidden="false" customHeight="false" outlineLevel="0" collapsed="false">
      <c r="A2" s="2" t="s">
        <v>175</v>
      </c>
    </row>
    <row r="4" customFormat="false" ht="15" hidden="false" customHeight="false" outlineLevel="0" collapsed="false">
      <c r="B4" s="7" t="s">
        <v>176</v>
      </c>
      <c r="C4" s="8"/>
      <c r="D4" s="8"/>
      <c r="E4" s="8"/>
      <c r="G4" s="7" t="s">
        <v>177</v>
      </c>
      <c r="H4" s="8"/>
      <c r="I4" s="8"/>
    </row>
    <row r="5" customFormat="false" ht="15" hidden="false" customHeight="false" outlineLevel="0" collapsed="false">
      <c r="B5" s="17" t="s">
        <v>178</v>
      </c>
      <c r="C5" s="17" t="s">
        <v>179</v>
      </c>
      <c r="D5" s="17" t="s">
        <v>180</v>
      </c>
      <c r="E5" s="17" t="s">
        <v>181</v>
      </c>
      <c r="G5" s="4" t="s">
        <v>182</v>
      </c>
      <c r="H5" s="13" t="n">
        <v>322.07</v>
      </c>
      <c r="I5" s="2" t="s">
        <v>183</v>
      </c>
    </row>
    <row r="6" customFormat="false" ht="15" hidden="false" customHeight="false" outlineLevel="0" collapsed="false">
      <c r="B6" s="18" t="s">
        <v>184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185</v>
      </c>
      <c r="H6" s="13" t="n">
        <v>216.46</v>
      </c>
      <c r="I6" s="2" t="s">
        <v>186</v>
      </c>
    </row>
    <row r="7" customFormat="false" ht="15" hidden="false" customHeight="false" outlineLevel="0" collapsed="false">
      <c r="B7" s="18" t="s">
        <v>187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188</v>
      </c>
      <c r="H7" s="13" t="n">
        <v>13.06</v>
      </c>
      <c r="I7" s="2" t="s">
        <v>189</v>
      </c>
    </row>
    <row r="8" customFormat="false" ht="15" hidden="false" customHeight="false" outlineLevel="0" collapsed="false">
      <c r="B8" s="18" t="s">
        <v>190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191</v>
      </c>
      <c r="H8" s="22" t="n">
        <v>551.59</v>
      </c>
      <c r="I8" s="2" t="s">
        <v>192</v>
      </c>
    </row>
    <row r="9" customFormat="false" ht="15" hidden="false" customHeight="false" outlineLevel="0" collapsed="false">
      <c r="B9" s="18" t="s">
        <v>193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194</v>
      </c>
      <c r="H9" s="13" t="n">
        <v>21.11</v>
      </c>
      <c r="I9" s="2" t="s">
        <v>195</v>
      </c>
    </row>
    <row r="10" customFormat="false" ht="15" hidden="false" customHeight="false" outlineLevel="0" collapsed="false">
      <c r="B10" s="18" t="s">
        <v>196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197</v>
      </c>
      <c r="H10" s="22" t="n">
        <v>572.7</v>
      </c>
      <c r="I10" s="2" t="s">
        <v>198</v>
      </c>
    </row>
    <row r="11" customFormat="false" ht="15" hidden="false" customHeight="false" outlineLevel="0" collapsed="false">
      <c r="B11" s="18" t="s">
        <v>199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200</v>
      </c>
      <c r="H11" s="23" t="n">
        <f aca="false">IFERROR(H8/540,0)</f>
        <v>1.02146296296296</v>
      </c>
      <c r="I11" s="2" t="s">
        <v>201</v>
      </c>
    </row>
    <row r="12" customFormat="false" ht="15" hidden="false" customHeight="false" outlineLevel="0" collapsed="false">
      <c r="B12" s="18" t="s">
        <v>202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203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204</v>
      </c>
    </row>
    <row r="14" customFormat="false" ht="15" hidden="false" customHeight="false" outlineLevel="0" collapsed="false">
      <c r="B14" s="18" t="s">
        <v>205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206</v>
      </c>
      <c r="H14" s="13" t="n">
        <v>4.14</v>
      </c>
      <c r="I14" s="2" t="s">
        <v>207</v>
      </c>
    </row>
    <row r="15" customFormat="false" ht="15" hidden="false" customHeight="false" outlineLevel="0" collapsed="false">
      <c r="B15" s="18" t="s">
        <v>208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209</v>
      </c>
      <c r="H15" s="13" t="n">
        <v>19.12</v>
      </c>
      <c r="I15" s="2" t="s">
        <v>207</v>
      </c>
    </row>
    <row r="16" customFormat="false" ht="15" hidden="false" customHeight="false" outlineLevel="0" collapsed="false">
      <c r="B16" s="18" t="s">
        <v>210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211</v>
      </c>
      <c r="H16" s="13" t="n">
        <v>99.28</v>
      </c>
      <c r="I16" s="2" t="s">
        <v>212</v>
      </c>
    </row>
    <row r="17" customFormat="false" ht="15" hidden="false" customHeight="false" outlineLevel="0" collapsed="false">
      <c r="B17" s="18" t="s">
        <v>213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214</v>
      </c>
      <c r="H17" s="22" t="n">
        <v>122.54</v>
      </c>
      <c r="I17" s="2" t="s">
        <v>215</v>
      </c>
    </row>
    <row r="18" customFormat="false" ht="15" hidden="false" customHeight="false" outlineLevel="0" collapsed="false">
      <c r="B18" s="18" t="s">
        <v>216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217</v>
      </c>
      <c r="G19" s="3" t="s">
        <v>218</v>
      </c>
    </row>
    <row r="20" customFormat="false" ht="15" hidden="false" customHeight="false" outlineLevel="0" collapsed="false">
      <c r="G20" s="4" t="s">
        <v>80</v>
      </c>
      <c r="H20" s="25" t="s">
        <v>219</v>
      </c>
    </row>
    <row r="21" customFormat="false" ht="15" hidden="false" customHeight="false" outlineLevel="0" collapsed="false">
      <c r="B21" s="7" t="s">
        <v>220</v>
      </c>
      <c r="C21" s="8"/>
      <c r="D21" s="8"/>
      <c r="E21" s="8"/>
      <c r="G21" s="4" t="s">
        <v>221</v>
      </c>
      <c r="H21" s="25" t="s">
        <v>222</v>
      </c>
    </row>
    <row r="22" customFormat="false" ht="15" hidden="false" customHeight="false" outlineLevel="0" collapsed="false">
      <c r="B22" s="21" t="s">
        <v>223</v>
      </c>
      <c r="C22" s="26" t="n">
        <f aca="false">SUM(C7:C18)</f>
        <v>4576</v>
      </c>
      <c r="D22" s="2" t="s">
        <v>224</v>
      </c>
      <c r="G22" s="4" t="s">
        <v>225</v>
      </c>
      <c r="H22" s="25" t="s">
        <v>226</v>
      </c>
    </row>
    <row r="23" customFormat="false" ht="15" hidden="false" customHeight="false" outlineLevel="0" collapsed="false">
      <c r="B23" s="4" t="s">
        <v>227</v>
      </c>
      <c r="C23" s="27" t="n">
        <f aca="false">C22/12</f>
        <v>381.333333333333</v>
      </c>
      <c r="D23" s="2" t="s">
        <v>105</v>
      </c>
      <c r="G23" s="4" t="s">
        <v>96</v>
      </c>
      <c r="H23" s="25" t="s">
        <v>228</v>
      </c>
    </row>
    <row r="24" customFormat="false" ht="15" hidden="false" customHeight="false" outlineLevel="0" collapsed="false">
      <c r="B24" s="4" t="s">
        <v>229</v>
      </c>
      <c r="C24" s="12" t="n">
        <f aca="false">SUM(D7:D18)</f>
        <v>366</v>
      </c>
      <c r="D24" s="2" t="s">
        <v>230</v>
      </c>
      <c r="G24" s="4" t="s">
        <v>231</v>
      </c>
      <c r="H24" s="28" t="s">
        <v>232</v>
      </c>
    </row>
    <row r="25" customFormat="false" ht="15" hidden="false" customHeight="false" outlineLevel="0" collapsed="false">
      <c r="B25" s="4" t="s">
        <v>233</v>
      </c>
      <c r="C25" s="29" t="n">
        <f aca="false">IFERROR(C22/C24,0)</f>
        <v>12.5027322404372</v>
      </c>
      <c r="D25" s="2" t="s">
        <v>234</v>
      </c>
      <c r="G25" s="4" t="s">
        <v>235</v>
      </c>
      <c r="H25" s="28" t="s">
        <v>236</v>
      </c>
    </row>
    <row r="26" customFormat="false" ht="15" hidden="false" customHeight="false" outlineLevel="0" collapsed="false">
      <c r="B26" s="4" t="s">
        <v>237</v>
      </c>
      <c r="C26" s="12" t="n">
        <f aca="false">MAX(C7:C18)</f>
        <v>540</v>
      </c>
      <c r="D26" s="2" t="s">
        <v>154</v>
      </c>
      <c r="G26" s="4" t="s">
        <v>238</v>
      </c>
      <c r="H26" s="25" t="s">
        <v>239</v>
      </c>
    </row>
    <row r="27" customFormat="false" ht="15" hidden="false" customHeight="false" outlineLevel="0" collapsed="false">
      <c r="B27" s="4" t="s">
        <v>240</v>
      </c>
      <c r="C27" s="12" t="n">
        <f aca="false">MIN(C7:C18)</f>
        <v>290</v>
      </c>
      <c r="D27" s="2" t="s">
        <v>154</v>
      </c>
      <c r="G27" s="4" t="s">
        <v>241</v>
      </c>
      <c r="H27" s="25" t="s">
        <v>242</v>
      </c>
    </row>
    <row r="28" customFormat="false" ht="15" hidden="false" customHeight="false" outlineLevel="0" collapsed="false">
      <c r="B28" s="4" t="s">
        <v>243</v>
      </c>
      <c r="C28" s="30" t="n">
        <f aca="false">IFERROR(C26/C27-1,0)</f>
        <v>0.862068965517241</v>
      </c>
      <c r="D28" s="2"/>
      <c r="G28" s="4" t="s">
        <v>244</v>
      </c>
      <c r="H28" s="25" t="s">
        <v>245</v>
      </c>
    </row>
    <row r="29" customFormat="false" ht="15" hidden="false" customHeight="false" outlineLevel="0" collapsed="false">
      <c r="B29" s="4" t="s">
        <v>246</v>
      </c>
      <c r="C29" s="12" t="n">
        <f aca="false">C18</f>
        <v>540</v>
      </c>
      <c r="D29" s="2" t="s">
        <v>154</v>
      </c>
      <c r="G29" s="4" t="s">
        <v>247</v>
      </c>
      <c r="H29" s="25" t="s">
        <v>248</v>
      </c>
    </row>
    <row r="30" customFormat="false" ht="15" hidden="false" customHeight="false" outlineLevel="0" collapsed="false">
      <c r="B30" s="4" t="s">
        <v>249</v>
      </c>
      <c r="C30" s="30" t="n">
        <f aca="false">IFERROR(C29/C23-1,0)</f>
        <v>0.416083916083916</v>
      </c>
      <c r="D30" s="2"/>
      <c r="G30" s="4" t="s">
        <v>250</v>
      </c>
      <c r="H30" s="25" t="s">
        <v>251</v>
      </c>
    </row>
    <row r="31" customFormat="false" ht="15" hidden="false" customHeight="false" outlineLevel="0" collapsed="false">
      <c r="B31" s="4" t="s">
        <v>252</v>
      </c>
      <c r="C31" s="29" t="n">
        <f aca="false">AVERAGE(C7:C12)</f>
        <v>343.5</v>
      </c>
      <c r="D31" s="2" t="s">
        <v>105</v>
      </c>
      <c r="G31" s="4" t="s">
        <v>253</v>
      </c>
      <c r="H31" s="25" t="s">
        <v>254</v>
      </c>
    </row>
    <row r="32" customFormat="false" ht="15" hidden="false" customHeight="false" outlineLevel="0" collapsed="false">
      <c r="B32" s="4" t="s">
        <v>255</v>
      </c>
      <c r="C32" s="29" t="n">
        <f aca="false">AVERAGE(C13:C18)</f>
        <v>419.166666666667</v>
      </c>
      <c r="D32" s="2" t="s">
        <v>105</v>
      </c>
      <c r="G32" s="4" t="s">
        <v>256</v>
      </c>
      <c r="H32" s="25" t="s">
        <v>257</v>
      </c>
    </row>
    <row r="33" customFormat="false" ht="15" hidden="false" customHeight="false" outlineLevel="0" collapsed="false">
      <c r="B33" s="4" t="s">
        <v>258</v>
      </c>
      <c r="C33" s="31" t="n">
        <f aca="false">IFERROR(C32/C31-1,0)</f>
        <v>0.220281416787967</v>
      </c>
      <c r="D33" s="2" t="s">
        <v>259</v>
      </c>
      <c r="G33" s="4" t="s">
        <v>260</v>
      </c>
      <c r="H33" s="25" t="s">
        <v>261</v>
      </c>
    </row>
    <row r="34" customFormat="false" ht="15" hidden="false" customHeight="false" outlineLevel="0" collapsed="false">
      <c r="B34" s="4" t="s">
        <v>262</v>
      </c>
      <c r="C34" s="31" t="n">
        <f aca="false">IFERROR(C18/C6-1,0)</f>
        <v>0.388174807197943</v>
      </c>
      <c r="D34" s="2" t="s">
        <v>263</v>
      </c>
    </row>
    <row r="36" customFormat="false" ht="15" hidden="false" customHeight="false" outlineLevel="0" collapsed="false">
      <c r="B36" s="7" t="s">
        <v>264</v>
      </c>
      <c r="C36" s="8"/>
      <c r="D36" s="8"/>
      <c r="E36" s="8"/>
    </row>
    <row r="37" customFormat="false" ht="15" hidden="false" customHeight="false" outlineLevel="0" collapsed="false">
      <c r="B37" s="17" t="s">
        <v>265</v>
      </c>
      <c r="C37" s="17" t="s">
        <v>179</v>
      </c>
      <c r="D37" s="17" t="s">
        <v>266</v>
      </c>
    </row>
    <row r="38" customFormat="false" ht="15" hidden="false" customHeight="false" outlineLevel="0" collapsed="false">
      <c r="B38" s="18" t="s">
        <v>267</v>
      </c>
      <c r="C38" s="32" t="n">
        <f aca="false">C12</f>
        <v>372</v>
      </c>
      <c r="D38" s="33" t="s">
        <v>202</v>
      </c>
    </row>
    <row r="39" customFormat="false" ht="15" hidden="false" customHeight="false" outlineLevel="0" collapsed="false">
      <c r="B39" s="18" t="s">
        <v>268</v>
      </c>
      <c r="C39" s="32" t="n">
        <f aca="false">C13</f>
        <v>348</v>
      </c>
      <c r="D39" s="33" t="s">
        <v>203</v>
      </c>
    </row>
    <row r="40" customFormat="false" ht="15" hidden="false" customHeight="false" outlineLevel="0" collapsed="false">
      <c r="B40" s="18" t="s">
        <v>269</v>
      </c>
      <c r="C40" s="32" t="n">
        <f aca="false">C14</f>
        <v>354</v>
      </c>
      <c r="D40" s="33" t="s">
        <v>205</v>
      </c>
    </row>
    <row r="41" customFormat="false" ht="15" hidden="false" customHeight="false" outlineLevel="0" collapsed="false">
      <c r="B41" s="18" t="s">
        <v>270</v>
      </c>
      <c r="C41" s="32" t="n">
        <f aca="false">C15</f>
        <v>394</v>
      </c>
      <c r="D41" s="33" t="s">
        <v>208</v>
      </c>
    </row>
    <row r="42" customFormat="false" ht="15" hidden="false" customHeight="false" outlineLevel="0" collapsed="false">
      <c r="B42" s="18" t="s">
        <v>271</v>
      </c>
      <c r="C42" s="32" t="n">
        <f aca="false">C16</f>
        <v>457</v>
      </c>
      <c r="D42" s="33" t="s">
        <v>210</v>
      </c>
    </row>
    <row r="43" customFormat="false" ht="15" hidden="false" customHeight="false" outlineLevel="0" collapsed="false">
      <c r="B43" s="18" t="s">
        <v>272</v>
      </c>
      <c r="C43" s="32" t="n">
        <f aca="false">C17</f>
        <v>422</v>
      </c>
      <c r="D43" s="33" t="s">
        <v>213</v>
      </c>
    </row>
    <row r="44" customFormat="false" ht="15" hidden="false" customHeight="false" outlineLevel="0" collapsed="false">
      <c r="B44" s="18" t="s">
        <v>273</v>
      </c>
      <c r="C44" s="32" t="n">
        <f aca="false">C18</f>
        <v>540</v>
      </c>
      <c r="D44" s="33" t="s">
        <v>216</v>
      </c>
    </row>
    <row r="45" customFormat="false" ht="15" hidden="false" customHeight="false" outlineLevel="0" collapsed="false">
      <c r="B45" s="18" t="s">
        <v>274</v>
      </c>
      <c r="C45" s="32" t="n">
        <f aca="false">C7</f>
        <v>364</v>
      </c>
      <c r="D45" s="33" t="s">
        <v>187</v>
      </c>
    </row>
    <row r="46" customFormat="false" ht="15" hidden="false" customHeight="false" outlineLevel="0" collapsed="false">
      <c r="B46" s="18" t="s">
        <v>275</v>
      </c>
      <c r="C46" s="32" t="n">
        <f aca="false">C8</f>
        <v>290</v>
      </c>
      <c r="D46" s="33" t="s">
        <v>190</v>
      </c>
    </row>
    <row r="47" customFormat="false" ht="15" hidden="false" customHeight="false" outlineLevel="0" collapsed="false">
      <c r="B47" s="18" t="s">
        <v>276</v>
      </c>
      <c r="C47" s="32" t="n">
        <f aca="false">C9</f>
        <v>375</v>
      </c>
      <c r="D47" s="33" t="s">
        <v>193</v>
      </c>
    </row>
    <row r="48" customFormat="false" ht="15" hidden="false" customHeight="false" outlineLevel="0" collapsed="false">
      <c r="B48" s="18" t="s">
        <v>277</v>
      </c>
      <c r="C48" s="32" t="n">
        <f aca="false">C10</f>
        <v>337</v>
      </c>
      <c r="D48" s="33" t="s">
        <v>196</v>
      </c>
    </row>
    <row r="49" customFormat="false" ht="15" hidden="false" customHeight="false" outlineLevel="0" collapsed="false">
      <c r="B49" s="18" t="s">
        <v>278</v>
      </c>
      <c r="C49" s="32" t="n">
        <f aca="false">C11</f>
        <v>323</v>
      </c>
      <c r="D49" s="33" t="s">
        <v>199</v>
      </c>
    </row>
    <row r="50" customFormat="false" ht="15" hidden="false" customHeight="false" outlineLevel="0" collapsed="false">
      <c r="B50" s="21" t="s">
        <v>279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280</v>
      </c>
      <c r="C52" s="8"/>
      <c r="D52" s="8"/>
      <c r="E52" s="8"/>
    </row>
    <row r="53" customFormat="false" ht="15" hidden="false" customHeight="false" outlineLevel="0" collapsed="false">
      <c r="B53" s="21" t="s">
        <v>281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282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283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284</v>
      </c>
    </row>
    <row r="58" customFormat="false" ht="15" hidden="false" customHeight="false" outlineLevel="0" collapsed="false">
      <c r="B58" s="4" t="s">
        <v>285</v>
      </c>
    </row>
    <row r="59" customFormat="false" ht="15" hidden="false" customHeight="false" outlineLevel="0" collapsed="false">
      <c r="B59" s="3" t="s">
        <v>286</v>
      </c>
    </row>
    <row r="60" customFormat="false" ht="15" hidden="false" customHeight="false" outlineLevel="0" collapsed="false">
      <c r="B60" s="4" t="s">
        <v>287</v>
      </c>
    </row>
    <row r="61" customFormat="false" ht="15" hidden="false" customHeight="false" outlineLevel="0" collapsed="false">
      <c r="B61" s="4" t="s">
        <v>288</v>
      </c>
    </row>
    <row r="62" customFormat="false" ht="15" hidden="false" customHeight="false" outlineLevel="0" collapsed="false">
      <c r="B62" s="4" t="s">
        <v>289</v>
      </c>
    </row>
    <row r="63" customFormat="false" ht="15" hidden="false" customHeight="false" outlineLevel="0" collapsed="false">
      <c r="B63" s="5" t="s">
        <v>290</v>
      </c>
    </row>
    <row r="64" customFormat="false" ht="15" hidden="false" customHeight="false" outlineLevel="0" collapsed="false">
      <c r="B64" s="4" t="s">
        <v>291</v>
      </c>
    </row>
    <row r="65" customFormat="false" ht="15" hidden="false" customHeight="false" outlineLevel="0" collapsed="false">
      <c r="B65" s="4" t="s">
        <v>292</v>
      </c>
    </row>
    <row r="66" customFormat="false" ht="15" hidden="false" customHeight="false" outlineLevel="0" collapsed="false">
      <c r="B66" s="5" t="s">
        <v>293</v>
      </c>
    </row>
    <row r="67" customFormat="false" ht="15" hidden="false" customHeight="false" outlineLevel="0" collapsed="false">
      <c r="B67" s="4" t="s">
        <v>294</v>
      </c>
    </row>
    <row r="68" customFormat="false" ht="15" hidden="false" customHeight="false" outlineLevel="0" collapsed="false">
      <c r="B68" s="4" t="s">
        <v>295</v>
      </c>
    </row>
    <row r="69" customFormat="false" ht="15" hidden="false" customHeight="false" outlineLevel="0" collapsed="false">
      <c r="B69" s="4" t="s">
        <v>296</v>
      </c>
    </row>
    <row r="70" customFormat="false" ht="15" hidden="false" customHeight="false" outlineLevel="0" collapsed="false">
      <c r="B70" s="4" t="s">
        <v>297</v>
      </c>
    </row>
    <row r="71" customFormat="false" ht="15" hidden="false" customHeight="false" outlineLevel="0" collapsed="false">
      <c r="B71" s="4" t="s">
        <v>298</v>
      </c>
    </row>
    <row r="72" customFormat="false" ht="15" hidden="false" customHeight="false" outlineLevel="0" collapsed="false">
      <c r="B72" s="4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42" hidden="false" customHeight="true" outlineLevel="0" collapsed="false">
      <c r="B4" s="17" t="s">
        <v>265</v>
      </c>
      <c r="C4" s="17" t="s">
        <v>180</v>
      </c>
      <c r="D4" s="17" t="s">
        <v>302</v>
      </c>
      <c r="E4" s="17" t="s">
        <v>303</v>
      </c>
      <c r="F4" s="17" t="s">
        <v>304</v>
      </c>
      <c r="G4" s="17" t="s">
        <v>305</v>
      </c>
      <c r="H4" s="17" t="s">
        <v>306</v>
      </c>
      <c r="I4" s="17" t="s">
        <v>307</v>
      </c>
      <c r="J4" s="17" t="s">
        <v>308</v>
      </c>
      <c r="K4" s="17" t="s">
        <v>309</v>
      </c>
    </row>
    <row r="5" customFormat="false" ht="15" hidden="false" customHeight="false" outlineLevel="0" collapsed="false">
      <c r="B5" s="18" t="s">
        <v>267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268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269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270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271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272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273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274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275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276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277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278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310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311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312</v>
      </c>
    </row>
    <row r="21" customFormat="false" ht="15" hidden="false" customHeight="false" outlineLevel="0" collapsed="false">
      <c r="B21" s="2" t="s">
        <v>313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314</v>
      </c>
    </row>
    <row r="24" customFormat="false" ht="15" hidden="false" customHeight="false" outlineLevel="0" collapsed="false">
      <c r="B24" s="2" t="s">
        <v>315</v>
      </c>
    </row>
    <row r="25" customFormat="false" ht="15" hidden="false" customHeight="false" outlineLevel="0" collapsed="false">
      <c r="B25" s="2" t="s">
        <v>316</v>
      </c>
    </row>
    <row r="26" customFormat="false" ht="15" hidden="false" customHeight="false" outlineLevel="0" collapsed="false">
      <c r="B26" s="2" t="s">
        <v>317</v>
      </c>
    </row>
    <row r="27" customFormat="false" ht="15" hidden="false" customHeight="false" outlineLevel="0" collapsed="false">
      <c r="B27" s="2" t="s">
        <v>318</v>
      </c>
    </row>
    <row r="28" customFormat="false" ht="15" hidden="false" customHeight="false" outlineLevel="0" collapsed="false">
      <c r="B28" s="2" t="s">
        <v>319</v>
      </c>
    </row>
    <row r="29" customFormat="false" ht="15" hidden="false" customHeight="false" outlineLevel="0" collapsed="false">
      <c r="B29" s="2" t="s">
        <v>320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321</v>
      </c>
    </row>
    <row r="32" customFormat="false" ht="15" hidden="false" customHeight="false" outlineLevel="0" collapsed="false">
      <c r="B32" s="2" t="s">
        <v>322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323</v>
      </c>
    </row>
    <row r="35" customFormat="false" ht="15" hidden="false" customHeight="false" outlineLevel="0" collapsed="false">
      <c r="B35" s="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 t="s">
        <v>326</v>
      </c>
    </row>
    <row r="4" customFormat="false" ht="15" hidden="false" customHeight="false" outlineLevel="0" collapsed="false">
      <c r="B4" s="7" t="s">
        <v>327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328</v>
      </c>
      <c r="C5" s="43" t="n">
        <f aca="false">ENTRADAS!C43</f>
        <v>40</v>
      </c>
      <c r="D5" s="2" t="s">
        <v>160</v>
      </c>
      <c r="H5" s="2" t="s">
        <v>329</v>
      </c>
    </row>
    <row r="6" customFormat="false" ht="15" hidden="false" customHeight="false" outlineLevel="0" collapsed="false">
      <c r="B6" s="4" t="s">
        <v>156</v>
      </c>
      <c r="C6" s="44" t="n">
        <f aca="false">ENTRADAS!C42</f>
        <v>17</v>
      </c>
      <c r="D6" s="2" t="s">
        <v>157</v>
      </c>
      <c r="H6" s="2" t="s">
        <v>330</v>
      </c>
    </row>
    <row r="7" customFormat="false" ht="15" hidden="false" customHeight="false" outlineLevel="0" collapsed="false">
      <c r="B7" s="4" t="s">
        <v>331</v>
      </c>
      <c r="C7" s="29" t="n">
        <f aca="false">C5*C6/100</f>
        <v>6.8</v>
      </c>
      <c r="D7" s="2" t="s">
        <v>234</v>
      </c>
      <c r="H7" s="2" t="s">
        <v>332</v>
      </c>
    </row>
    <row r="8" customFormat="false" ht="15" hidden="false" customHeight="false" outlineLevel="0" collapsed="false">
      <c r="B8" s="4" t="s">
        <v>162</v>
      </c>
      <c r="C8" s="43" t="n">
        <f aca="false">ENTRADAS!C44</f>
        <v>26</v>
      </c>
      <c r="D8" s="2" t="s">
        <v>163</v>
      </c>
      <c r="H8" s="2" t="s">
        <v>164</v>
      </c>
    </row>
    <row r="9" customFormat="false" ht="15" hidden="false" customHeight="false" outlineLevel="0" collapsed="false">
      <c r="B9" s="21" t="s">
        <v>333</v>
      </c>
      <c r="C9" s="45" t="n">
        <f aca="false">C7*C8</f>
        <v>176.8</v>
      </c>
      <c r="D9" s="2" t="s">
        <v>105</v>
      </c>
      <c r="H9" s="2" t="s">
        <v>334</v>
      </c>
    </row>
    <row r="11" customFormat="false" ht="15" hidden="false" customHeight="false" outlineLevel="0" collapsed="false">
      <c r="B11" s="7" t="s">
        <v>335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165</v>
      </c>
      <c r="C12" s="46" t="n">
        <f aca="false">ENTRADAS!C45</f>
        <v>0.86</v>
      </c>
      <c r="D12" s="2"/>
      <c r="H12" s="2" t="s">
        <v>336</v>
      </c>
    </row>
    <row r="13" customFormat="false" ht="15" hidden="false" customHeight="false" outlineLevel="0" collapsed="false">
      <c r="B13" s="21" t="s">
        <v>337</v>
      </c>
      <c r="C13" s="45" t="n">
        <f aca="false">C9/C12</f>
        <v>205.581395348837</v>
      </c>
      <c r="D13" s="2" t="s">
        <v>105</v>
      </c>
      <c r="H13" s="2" t="s">
        <v>338</v>
      </c>
    </row>
    <row r="14" customFormat="false" ht="15" hidden="false" customHeight="false" outlineLevel="0" collapsed="false">
      <c r="B14" s="4" t="s">
        <v>339</v>
      </c>
      <c r="C14" s="12" t="n">
        <f aca="false">C13-C9</f>
        <v>28.7813953488372</v>
      </c>
      <c r="D14" s="2" t="s">
        <v>105</v>
      </c>
      <c r="H14" s="2" t="s">
        <v>340</v>
      </c>
    </row>
    <row r="15" customFormat="false" ht="15" hidden="false" customHeight="false" outlineLevel="0" collapsed="false">
      <c r="B15" s="4" t="s">
        <v>341</v>
      </c>
      <c r="C15" s="15" t="n">
        <f aca="false">C13*ENTRADAS!C18</f>
        <v>209.995227906977</v>
      </c>
      <c r="D15" s="2" t="s">
        <v>125</v>
      </c>
      <c r="H15" s="2" t="s">
        <v>342</v>
      </c>
    </row>
    <row r="16" customFormat="false" ht="15" hidden="false" customHeight="false" outlineLevel="0" collapsed="false">
      <c r="B16" s="4" t="s">
        <v>343</v>
      </c>
      <c r="C16" s="15" t="n">
        <f aca="false">C15*12</f>
        <v>2519.94273488372</v>
      </c>
      <c r="D16" s="2" t="s">
        <v>143</v>
      </c>
      <c r="H16" s="2"/>
    </row>
    <row r="17" customFormat="false" ht="15" hidden="false" customHeight="false" outlineLevel="0" collapsed="false">
      <c r="B17" s="4" t="s">
        <v>344</v>
      </c>
      <c r="C17" s="15" t="n">
        <f aca="false">C13*ENTRADAS!C25</f>
        <v>44.1413681860465</v>
      </c>
      <c r="D17" s="2" t="s">
        <v>125</v>
      </c>
      <c r="H17" s="2" t="s">
        <v>345</v>
      </c>
    </row>
    <row r="18" customFormat="false" ht="15" hidden="false" customHeight="false" outlineLevel="0" collapsed="false">
      <c r="B18" s="21" t="s">
        <v>346</v>
      </c>
      <c r="C18" s="47" t="n">
        <f aca="false">C15-C17</f>
        <v>165.85385972093</v>
      </c>
      <c r="D18" s="2" t="s">
        <v>125</v>
      </c>
      <c r="H18" s="2" t="s">
        <v>347</v>
      </c>
    </row>
    <row r="19" customFormat="false" ht="15" hidden="false" customHeight="false" outlineLevel="0" collapsed="false">
      <c r="B19" s="4" t="s">
        <v>348</v>
      </c>
      <c r="C19" s="15" t="n">
        <f aca="false">C18*12</f>
        <v>1990.24631665116</v>
      </c>
      <c r="D19" s="2" t="s">
        <v>143</v>
      </c>
      <c r="H19" s="2"/>
    </row>
    <row r="20" customFormat="false" ht="15" hidden="false" customHeight="false" outlineLevel="0" collapsed="false">
      <c r="B20" s="4" t="s">
        <v>349</v>
      </c>
      <c r="C20" s="15" t="n">
        <f aca="false">IFERROR(C15/(C5*C8),0)</f>
        <v>0.201918488372093</v>
      </c>
      <c r="D20" s="2" t="s">
        <v>350</v>
      </c>
      <c r="H20" s="2" t="s">
        <v>351</v>
      </c>
    </row>
    <row r="21" customFormat="false" ht="15" hidden="false" customHeight="false" outlineLevel="0" collapsed="false">
      <c r="B21" s="4" t="s">
        <v>352</v>
      </c>
      <c r="C21" s="15" t="n">
        <f aca="false">IFERROR(C17/(C5*C8),0)</f>
        <v>0.042443623255814</v>
      </c>
      <c r="D21" s="2" t="s">
        <v>350</v>
      </c>
      <c r="H21" s="2" t="s">
        <v>353</v>
      </c>
    </row>
    <row r="23" customFormat="false" ht="15" hidden="false" customHeight="false" outlineLevel="0" collapsed="false">
      <c r="B23" s="7" t="s">
        <v>354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355</v>
      </c>
      <c r="C24" s="44" t="n">
        <f aca="false">ENTRADAS!C46</f>
        <v>3.3</v>
      </c>
      <c r="D24" s="2" t="s">
        <v>168</v>
      </c>
      <c r="H24" s="2" t="s">
        <v>356</v>
      </c>
    </row>
    <row r="25" customFormat="false" ht="15" hidden="false" customHeight="false" outlineLevel="0" collapsed="false">
      <c r="B25" s="4" t="s">
        <v>357</v>
      </c>
      <c r="C25" s="29" t="n">
        <f aca="false">IFERROR(C13/C8/C24,0)</f>
        <v>2.39605355884426</v>
      </c>
      <c r="D25" s="2" t="s">
        <v>358</v>
      </c>
      <c r="H25" s="2" t="s">
        <v>359</v>
      </c>
    </row>
    <row r="26" customFormat="false" ht="15" hidden="false" customHeight="false" outlineLevel="0" collapsed="false">
      <c r="B26" s="4" t="s">
        <v>360</v>
      </c>
      <c r="C26" s="29" t="n">
        <f aca="false">IFERROR(ENTRADAS!C41/ENTRADAS!C45/C24,0)</f>
        <v>6.44820295983087</v>
      </c>
      <c r="D26" s="2" t="s">
        <v>361</v>
      </c>
      <c r="H26" s="2" t="s">
        <v>362</v>
      </c>
    </row>
    <row r="27" customFormat="false" ht="15" hidden="false" customHeight="false" outlineLevel="0" collapsed="false">
      <c r="B27" s="4" t="s">
        <v>363</v>
      </c>
      <c r="C27" s="29" t="n">
        <f aca="false">IFERROR(C24*1000/220,0)</f>
        <v>15</v>
      </c>
      <c r="D27" s="2" t="s">
        <v>364</v>
      </c>
      <c r="H27" s="2" t="s">
        <v>365</v>
      </c>
    </row>
    <row r="28" customFormat="false" ht="15" hidden="false" customHeight="false" outlineLevel="0" collapsed="false">
      <c r="B28" s="4" t="s">
        <v>366</v>
      </c>
      <c r="C28" s="29" t="n">
        <f aca="false">IFERROR(C27*1.25,0)</f>
        <v>18.75</v>
      </c>
      <c r="D28" s="2" t="s">
        <v>364</v>
      </c>
      <c r="H28" s="2" t="s">
        <v>367</v>
      </c>
    </row>
    <row r="29" customFormat="false" ht="15" hidden="false" customHeight="false" outlineLevel="0" collapsed="false">
      <c r="B29" s="4" t="s">
        <v>368</v>
      </c>
      <c r="C29" s="29" t="n">
        <f aca="false">C24*1</f>
        <v>3.3</v>
      </c>
      <c r="D29" s="2" t="s">
        <v>154</v>
      </c>
      <c r="H29" s="2" t="s">
        <v>369</v>
      </c>
    </row>
    <row r="31" customFormat="false" ht="15" hidden="false" customHeight="false" outlineLevel="0" collapsed="false">
      <c r="B31" s="7" t="s">
        <v>370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371</v>
      </c>
      <c r="C32" s="17" t="s">
        <v>372</v>
      </c>
      <c r="D32" s="17" t="s">
        <v>373</v>
      </c>
      <c r="E32" s="17" t="s">
        <v>374</v>
      </c>
      <c r="F32" s="17" t="s">
        <v>375</v>
      </c>
      <c r="G32" s="17" t="s">
        <v>376</v>
      </c>
    </row>
    <row r="33" customFormat="false" ht="15" hidden="false" customHeight="false" outlineLevel="0" collapsed="false">
      <c r="B33" s="18" t="s">
        <v>377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378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379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380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381</v>
      </c>
      <c r="C41" s="17" t="s">
        <v>382</v>
      </c>
      <c r="D41" s="17" t="s">
        <v>383</v>
      </c>
      <c r="E41" s="17" t="s">
        <v>384</v>
      </c>
      <c r="F41" s="17" t="s">
        <v>385</v>
      </c>
      <c r="G41" s="17" t="s">
        <v>386</v>
      </c>
    </row>
    <row r="42" customFormat="false" ht="57.45" hidden="false" customHeight="false" outlineLevel="0" collapsed="false">
      <c r="B42" s="50" t="s">
        <v>387</v>
      </c>
      <c r="C42" s="51" t="s">
        <v>388</v>
      </c>
      <c r="D42" s="52" t="n">
        <f aca="false">0</f>
        <v>0</v>
      </c>
      <c r="E42" s="53" t="n">
        <f aca="false">0</f>
        <v>0</v>
      </c>
      <c r="F42" s="51" t="s">
        <v>389</v>
      </c>
      <c r="G42" s="51" t="s">
        <v>390</v>
      </c>
    </row>
    <row r="43" customFormat="false" ht="57.45" hidden="false" customHeight="false" outlineLevel="0" collapsed="false">
      <c r="B43" s="50" t="s">
        <v>391</v>
      </c>
      <c r="C43" s="51" t="s">
        <v>392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393</v>
      </c>
      <c r="G43" s="51" t="s">
        <v>394</v>
      </c>
    </row>
    <row r="44" customFormat="false" ht="15" hidden="false" customHeight="false" outlineLevel="0" collapsed="false">
      <c r="B44" s="50" t="s">
        <v>395</v>
      </c>
      <c r="C44" s="51" t="s">
        <v>396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397</v>
      </c>
      <c r="G44" s="51" t="s">
        <v>398</v>
      </c>
    </row>
    <row r="45" customFormat="false" ht="15" hidden="false" customHeight="false" outlineLevel="0" collapsed="false">
      <c r="B45" s="21" t="s">
        <v>399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400</v>
      </c>
    </row>
    <row r="47" customFormat="false" ht="15" hidden="false" customHeight="false" outlineLevel="0" collapsed="false">
      <c r="B47" s="4" t="s">
        <v>401</v>
      </c>
    </row>
    <row r="48" customFormat="false" ht="15" hidden="false" customHeight="false" outlineLevel="0" collapsed="false">
      <c r="B48" s="4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2" t="s">
        <v>404</v>
      </c>
    </row>
    <row r="4" customFormat="false" ht="15" hidden="false" customHeight="false" outlineLevel="0" collapsed="false">
      <c r="B4" s="7" t="s">
        <v>405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406</v>
      </c>
      <c r="C5" s="43" t="n">
        <f aca="false">GERACAO!I17</f>
        <v>1264.268995</v>
      </c>
      <c r="D5" s="2" t="s">
        <v>407</v>
      </c>
    </row>
    <row r="6" customFormat="false" ht="15" hidden="false" customHeight="false" outlineLevel="0" collapsed="false">
      <c r="B6" s="4" t="s">
        <v>408</v>
      </c>
      <c r="C6" s="29" t="n">
        <f aca="false">C5/12</f>
        <v>105.355749583333</v>
      </c>
      <c r="D6" s="2" t="s">
        <v>409</v>
      </c>
    </row>
    <row r="7" customFormat="false" ht="15" hidden="false" customHeight="false" outlineLevel="0" collapsed="false">
      <c r="B7" s="4" t="s">
        <v>410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411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371</v>
      </c>
      <c r="C10" s="17" t="s">
        <v>412</v>
      </c>
      <c r="D10" s="17" t="s">
        <v>413</v>
      </c>
      <c r="E10" s="17" t="s">
        <v>414</v>
      </c>
      <c r="F10" s="17" t="s">
        <v>415</v>
      </c>
    </row>
    <row r="11" customFormat="false" ht="15" hidden="false" customHeight="false" outlineLevel="0" collapsed="false">
      <c r="B11" s="18" t="s">
        <v>416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417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418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419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420</v>
      </c>
      <c r="D16" s="17" t="s">
        <v>421</v>
      </c>
      <c r="E16" s="17" t="s">
        <v>422</v>
      </c>
    </row>
    <row r="17" customFormat="false" ht="23.85" hidden="false" customHeight="false" outlineLevel="0" collapsed="false">
      <c r="B17" s="4" t="s">
        <v>423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424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425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426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427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428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429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430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431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432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433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434</v>
      </c>
    </row>
    <row r="31" customFormat="false" ht="15" hidden="false" customHeight="false" outlineLevel="0" collapsed="false">
      <c r="B31" s="4" t="s">
        <v>435</v>
      </c>
    </row>
    <row r="32" customFormat="false" ht="15" hidden="false" customHeight="false" outlineLevel="0" collapsed="false">
      <c r="B32" s="4" t="s">
        <v>436</v>
      </c>
    </row>
    <row r="33" customFormat="false" ht="15" hidden="false" customHeight="false" outlineLevel="0" collapsed="false">
      <c r="B33" s="4" t="s">
        <v>437</v>
      </c>
    </row>
    <row r="34" customFormat="false" ht="15" hidden="false" customHeight="false" outlineLevel="0" collapsed="false">
      <c r="B34" s="4" t="s">
        <v>438</v>
      </c>
    </row>
    <row r="35" customFormat="false" ht="15" hidden="false" customHeight="false" outlineLevel="0" collapsed="false">
      <c r="B35" s="4" t="s">
        <v>439</v>
      </c>
    </row>
    <row r="36" customFormat="false" ht="15" hidden="false" customHeight="false" outlineLevel="0" collapsed="false">
      <c r="B36" s="4" t="s">
        <v>440</v>
      </c>
    </row>
    <row r="37" customFormat="false" ht="15" hidden="false" customHeight="false" outlineLevel="0" collapsed="false">
      <c r="B37" s="4" t="s">
        <v>441</v>
      </c>
    </row>
    <row r="38" customFormat="false" ht="15" hidden="false" customHeight="false" outlineLevel="0" collapsed="false">
      <c r="B38" s="4" t="s">
        <v>442</v>
      </c>
    </row>
    <row r="39" customFormat="false" ht="15" hidden="false" customHeight="false" outlineLevel="0" collapsed="false">
      <c r="B39" s="4" t="s">
        <v>443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444</v>
      </c>
    </row>
    <row r="42" customFormat="false" ht="15" hidden="false" customHeight="false" outlineLevel="0" collapsed="false">
      <c r="B42" s="4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2" min="3" style="0" width="17"/>
    <col collapsed="false" customWidth="true" hidden="false" outlineLevel="0" max="13" min="13" style="0" width="62"/>
  </cols>
  <sheetData>
    <row r="1" customFormat="false" ht="17.35" hidden="false" customHeight="false" outlineLevel="0" collapsed="false">
      <c r="A1" s="1" t="s">
        <v>446</v>
      </c>
    </row>
    <row r="2" customFormat="false" ht="15" hidden="false" customHeight="false" outlineLevel="0" collapsed="false">
      <c r="A2" s="2" t="s">
        <v>447</v>
      </c>
    </row>
    <row r="4" customFormat="false" ht="51.75" hidden="false" customHeight="true" outlineLevel="0" collapsed="false">
      <c r="B4" s="17" t="s">
        <v>448</v>
      </c>
      <c r="C4" s="17" t="s">
        <v>449</v>
      </c>
      <c r="D4" s="17" t="s">
        <v>450</v>
      </c>
      <c r="E4" s="17" t="s">
        <v>451</v>
      </c>
      <c r="F4" s="17" t="s">
        <v>452</v>
      </c>
      <c r="G4" s="17" t="s">
        <v>453</v>
      </c>
      <c r="H4" s="17" t="s">
        <v>454</v>
      </c>
      <c r="I4" s="17" t="s">
        <v>455</v>
      </c>
      <c r="J4" s="17" t="s">
        <v>456</v>
      </c>
      <c r="K4" s="17" t="s">
        <v>457</v>
      </c>
      <c r="L4" s="17" t="s">
        <v>458</v>
      </c>
      <c r="M4" s="17" t="s">
        <v>459</v>
      </c>
    </row>
    <row r="5" customFormat="false" ht="23.85" hidden="false" customHeight="false" outlineLevel="0" collapsed="false">
      <c r="B5" s="64" t="s">
        <v>460</v>
      </c>
      <c r="C5" s="65" t="s">
        <v>461</v>
      </c>
      <c r="D5" s="65" t="s">
        <v>461</v>
      </c>
      <c r="E5" s="65" t="s">
        <v>462</v>
      </c>
      <c r="F5" s="65" t="s">
        <v>462</v>
      </c>
      <c r="G5" s="65" t="s">
        <v>463</v>
      </c>
      <c r="H5" s="65" t="s">
        <v>464</v>
      </c>
      <c r="I5" s="65" t="s">
        <v>462</v>
      </c>
      <c r="J5" s="65" t="s">
        <v>465</v>
      </c>
      <c r="K5" s="65" t="s">
        <v>464</v>
      </c>
      <c r="L5" s="65" t="s">
        <v>466</v>
      </c>
      <c r="M5" s="66" t="s">
        <v>467</v>
      </c>
    </row>
    <row r="6" customFormat="false" ht="22.35" hidden="false" customHeight="false" outlineLevel="0" collapsed="false">
      <c r="B6" s="64" t="s">
        <v>468</v>
      </c>
      <c r="C6" s="65" t="s">
        <v>469</v>
      </c>
      <c r="D6" s="65" t="s">
        <v>469</v>
      </c>
      <c r="E6" s="67" t="s">
        <v>470</v>
      </c>
      <c r="F6" s="67" t="s">
        <v>470</v>
      </c>
      <c r="G6" s="67" t="s">
        <v>470</v>
      </c>
      <c r="H6" s="65" t="s">
        <v>471</v>
      </c>
      <c r="I6" s="67" t="s">
        <v>470</v>
      </c>
      <c r="J6" s="67" t="s">
        <v>472</v>
      </c>
      <c r="K6" s="65" t="s">
        <v>471</v>
      </c>
      <c r="L6" s="65"/>
      <c r="M6" s="68" t="s">
        <v>473</v>
      </c>
    </row>
    <row r="7" customFormat="false" ht="23.85" hidden="false" customHeight="false" outlineLevel="0" collapsed="false">
      <c r="B7" s="64" t="s">
        <v>474</v>
      </c>
      <c r="C7" s="65" t="s">
        <v>475</v>
      </c>
      <c r="D7" s="65" t="s">
        <v>476</v>
      </c>
      <c r="E7" s="65" t="s">
        <v>477</v>
      </c>
      <c r="F7" s="65" t="s">
        <v>477</v>
      </c>
      <c r="G7" s="65" t="s">
        <v>478</v>
      </c>
      <c r="H7" s="65" t="s">
        <v>479</v>
      </c>
      <c r="I7" s="65" t="s">
        <v>480</v>
      </c>
      <c r="J7" s="65" t="s">
        <v>481</v>
      </c>
      <c r="K7" s="65" t="s">
        <v>482</v>
      </c>
      <c r="L7" s="65" t="s">
        <v>483</v>
      </c>
      <c r="M7" s="68" t="s">
        <v>484</v>
      </c>
    </row>
    <row r="8" customFormat="false" ht="15" hidden="false" customHeight="false" outlineLevel="0" collapsed="false">
      <c r="B8" s="69" t="s">
        <v>485</v>
      </c>
      <c r="C8" s="70" t="s">
        <v>486</v>
      </c>
      <c r="D8" s="70" t="s">
        <v>486</v>
      </c>
      <c r="E8" s="70" t="s">
        <v>487</v>
      </c>
      <c r="F8" s="70" t="s">
        <v>487</v>
      </c>
      <c r="G8" s="70" t="s">
        <v>487</v>
      </c>
      <c r="H8" s="70" t="s">
        <v>487</v>
      </c>
      <c r="I8" s="70" t="s">
        <v>487</v>
      </c>
      <c r="J8" s="70" t="s">
        <v>487</v>
      </c>
      <c r="K8" s="70" t="s">
        <v>487</v>
      </c>
      <c r="L8" s="70" t="s">
        <v>488</v>
      </c>
      <c r="M8" s="68" t="s">
        <v>489</v>
      </c>
    </row>
    <row r="9" customFormat="false" ht="15" hidden="false" customHeight="false" outlineLevel="0" collapsed="false">
      <c r="B9" s="64" t="s">
        <v>490</v>
      </c>
      <c r="C9" s="71" t="n">
        <v>12</v>
      </c>
      <c r="D9" s="71" t="n">
        <v>12</v>
      </c>
      <c r="E9" s="71" t="n">
        <v>10</v>
      </c>
      <c r="F9" s="71" t="n">
        <v>10</v>
      </c>
      <c r="G9" s="71" t="n">
        <v>10</v>
      </c>
      <c r="H9" s="71" t="n">
        <v>8</v>
      </c>
      <c r="I9" s="71" t="n">
        <v>10</v>
      </c>
      <c r="J9" s="71" t="n">
        <v>10</v>
      </c>
      <c r="K9" s="71" t="n">
        <v>11</v>
      </c>
      <c r="L9" s="72"/>
      <c r="M9" s="66" t="s">
        <v>491</v>
      </c>
    </row>
    <row r="10" customFormat="false" ht="15" hidden="false" customHeight="false" outlineLevel="0" collapsed="false">
      <c r="B10" s="64" t="s">
        <v>492</v>
      </c>
      <c r="C10" s="71" t="n">
        <v>615</v>
      </c>
      <c r="D10" s="71" t="n">
        <v>605</v>
      </c>
      <c r="E10" s="71" t="n">
        <v>620</v>
      </c>
      <c r="F10" s="71" t="n">
        <v>620</v>
      </c>
      <c r="G10" s="71" t="n">
        <v>535</v>
      </c>
      <c r="H10" s="71" t="n">
        <v>585</v>
      </c>
      <c r="I10" s="71" t="n">
        <v>650</v>
      </c>
      <c r="J10" s="71" t="n">
        <v>590</v>
      </c>
      <c r="K10" s="71" t="n">
        <v>620</v>
      </c>
      <c r="L10" s="72"/>
      <c r="M10" s="66" t="s">
        <v>493</v>
      </c>
    </row>
    <row r="11" customFormat="false" ht="23.85" hidden="false" customHeight="false" outlineLevel="0" collapsed="false">
      <c r="B11" s="64" t="s">
        <v>494</v>
      </c>
      <c r="C11" s="65" t="s">
        <v>495</v>
      </c>
      <c r="D11" s="65" t="s">
        <v>496</v>
      </c>
      <c r="E11" s="65" t="s">
        <v>497</v>
      </c>
      <c r="F11" s="65" t="s">
        <v>497</v>
      </c>
      <c r="G11" s="65" t="s">
        <v>498</v>
      </c>
      <c r="H11" s="65" t="s">
        <v>499</v>
      </c>
      <c r="I11" s="65" t="s">
        <v>500</v>
      </c>
      <c r="J11" s="65" t="s">
        <v>501</v>
      </c>
      <c r="K11" s="65" t="s">
        <v>502</v>
      </c>
      <c r="L11" s="65"/>
      <c r="M11" s="68" t="s">
        <v>503</v>
      </c>
    </row>
    <row r="12" customFormat="false" ht="15" hidden="false" customHeight="false" outlineLevel="0" collapsed="false">
      <c r="B12" s="69" t="s">
        <v>504</v>
      </c>
      <c r="C12" s="73" t="n">
        <f aca="false">C9*C10/1000</f>
        <v>7.38</v>
      </c>
      <c r="D12" s="73" t="n">
        <f aca="false">D9*D10/1000</f>
        <v>7.26</v>
      </c>
      <c r="E12" s="73" t="n">
        <f aca="false">E9*E10/1000</f>
        <v>6.2</v>
      </c>
      <c r="F12" s="73" t="n">
        <f aca="false">F9*F10/1000</f>
        <v>6.2</v>
      </c>
      <c r="G12" s="73" t="n">
        <f aca="false">G9*G10/1000</f>
        <v>5.35</v>
      </c>
      <c r="H12" s="73" t="n">
        <f aca="false">H9*H10/1000</f>
        <v>4.68</v>
      </c>
      <c r="I12" s="73" t="n">
        <f aca="false">I9*I10/1000</f>
        <v>6.5</v>
      </c>
      <c r="J12" s="73" t="n">
        <f aca="false">J9*J10/1000</f>
        <v>5.9</v>
      </c>
      <c r="K12" s="73" t="n">
        <f aca="false">K9*K10/1000</f>
        <v>6.82</v>
      </c>
      <c r="L12" s="73"/>
      <c r="M12" s="66" t="s">
        <v>505</v>
      </c>
    </row>
    <row r="13" customFormat="false" ht="35.05" hidden="false" customHeight="false" outlineLevel="0" collapsed="false">
      <c r="B13" s="64" t="s">
        <v>506</v>
      </c>
      <c r="C13" s="65" t="s">
        <v>507</v>
      </c>
      <c r="D13" s="65" t="s">
        <v>507</v>
      </c>
      <c r="E13" s="65" t="s">
        <v>508</v>
      </c>
      <c r="F13" s="65" t="s">
        <v>509</v>
      </c>
      <c r="G13" s="65" t="s">
        <v>510</v>
      </c>
      <c r="H13" s="65" t="s">
        <v>511</v>
      </c>
      <c r="I13" s="65" t="s">
        <v>512</v>
      </c>
      <c r="J13" s="65" t="s">
        <v>513</v>
      </c>
      <c r="K13" s="65" t="s">
        <v>514</v>
      </c>
      <c r="L13" s="65"/>
      <c r="M13" s="68" t="s">
        <v>515</v>
      </c>
    </row>
    <row r="14" customFormat="false" ht="15" hidden="false" customHeight="false" outlineLevel="0" collapsed="false">
      <c r="B14" s="64" t="s">
        <v>516</v>
      </c>
      <c r="C14" s="74" t="n">
        <v>6</v>
      </c>
      <c r="D14" s="74" t="n">
        <v>6</v>
      </c>
      <c r="E14" s="74" t="n">
        <v>5</v>
      </c>
      <c r="F14" s="74" t="n">
        <v>5</v>
      </c>
      <c r="G14" s="74" t="n">
        <v>4</v>
      </c>
      <c r="H14" s="74" t="n">
        <v>3</v>
      </c>
      <c r="I14" s="74" t="n">
        <v>9</v>
      </c>
      <c r="J14" s="74" t="n">
        <v>5</v>
      </c>
      <c r="K14" s="74" t="n">
        <v>7.5</v>
      </c>
      <c r="L14" s="75"/>
      <c r="M14" s="66" t="s">
        <v>517</v>
      </c>
    </row>
    <row r="15" customFormat="false" ht="43.25" hidden="false" customHeight="false" outlineLevel="0" collapsed="false">
      <c r="B15" s="64" t="s">
        <v>518</v>
      </c>
      <c r="C15" s="65" t="s">
        <v>519</v>
      </c>
      <c r="D15" s="65" t="s">
        <v>519</v>
      </c>
      <c r="E15" s="65" t="s">
        <v>520</v>
      </c>
      <c r="F15" s="65" t="s">
        <v>520</v>
      </c>
      <c r="G15" s="65" t="s">
        <v>519</v>
      </c>
      <c r="H15" s="65" t="s">
        <v>521</v>
      </c>
      <c r="I15" s="65" t="s">
        <v>522</v>
      </c>
      <c r="J15" s="65" t="s">
        <v>522</v>
      </c>
      <c r="K15" s="65" t="s">
        <v>519</v>
      </c>
      <c r="L15" s="65"/>
      <c r="M15" s="68" t="s">
        <v>523</v>
      </c>
    </row>
    <row r="16" customFormat="false" ht="43.25" hidden="false" customHeight="false" outlineLevel="0" collapsed="false">
      <c r="B16" s="69" t="s">
        <v>524</v>
      </c>
      <c r="C16" s="76" t="n">
        <f aca="false">IFERROR(C12/C14,0)</f>
        <v>1.23</v>
      </c>
      <c r="D16" s="76" t="n">
        <f aca="false">IFERROR(D12/D14,0)</f>
        <v>1.21</v>
      </c>
      <c r="E16" s="76" t="n">
        <f aca="false">IFERROR(E12/E14,0)</f>
        <v>1.24</v>
      </c>
      <c r="F16" s="76" t="n">
        <f aca="false">IFERROR(F12/F14,0)</f>
        <v>1.24</v>
      </c>
      <c r="G16" s="76" t="n">
        <f aca="false">IFERROR(G12/G14,0)</f>
        <v>1.3375</v>
      </c>
      <c r="H16" s="76" t="n">
        <f aca="false">IFERROR(H12/H14,0)</f>
        <v>1.56</v>
      </c>
      <c r="I16" s="76" t="n">
        <f aca="false">IFERROR(I12/I14,0)</f>
        <v>0.722222222222222</v>
      </c>
      <c r="J16" s="76" t="n">
        <f aca="false">IFERROR(J12/J14,0)</f>
        <v>1.18</v>
      </c>
      <c r="K16" s="76" t="n">
        <f aca="false">IFERROR(K12/K14,0)</f>
        <v>0.909333333333333</v>
      </c>
      <c r="L16" s="76"/>
      <c r="M16" s="68" t="s">
        <v>525</v>
      </c>
    </row>
    <row r="17" customFormat="false" ht="22.35" hidden="false" customHeight="false" outlineLevel="0" collapsed="false">
      <c r="B17" s="64" t="s">
        <v>526</v>
      </c>
      <c r="C17" s="77" t="s">
        <v>527</v>
      </c>
      <c r="D17" s="77" t="s">
        <v>527</v>
      </c>
      <c r="E17" s="77" t="s">
        <v>528</v>
      </c>
      <c r="F17" s="77" t="s">
        <v>528</v>
      </c>
      <c r="G17" s="77" t="s">
        <v>527</v>
      </c>
      <c r="H17" s="77" t="s">
        <v>527</v>
      </c>
      <c r="I17" s="77" t="s">
        <v>528</v>
      </c>
      <c r="J17" s="77" t="s">
        <v>528</v>
      </c>
      <c r="K17" s="77" t="s">
        <v>527</v>
      </c>
      <c r="L17" s="77"/>
      <c r="M17" s="68" t="s">
        <v>529</v>
      </c>
    </row>
    <row r="18" customFormat="false" ht="22.35" hidden="false" customHeight="false" outlineLevel="0" collapsed="false">
      <c r="B18" s="64" t="s">
        <v>530</v>
      </c>
      <c r="C18" s="65" t="s">
        <v>531</v>
      </c>
      <c r="D18" s="65" t="s">
        <v>531</v>
      </c>
      <c r="E18" s="65" t="s">
        <v>532</v>
      </c>
      <c r="F18" s="65" t="s">
        <v>532</v>
      </c>
      <c r="G18" s="65" t="s">
        <v>533</v>
      </c>
      <c r="H18" s="65" t="s">
        <v>533</v>
      </c>
      <c r="I18" s="65" t="s">
        <v>532</v>
      </c>
      <c r="J18" s="65" t="s">
        <v>534</v>
      </c>
      <c r="K18" s="65" t="s">
        <v>533</v>
      </c>
      <c r="L18" s="65"/>
      <c r="M18" s="68" t="s">
        <v>535</v>
      </c>
    </row>
    <row r="19" customFormat="false" ht="19.4" hidden="false" customHeight="false" outlineLevel="0" collapsed="false">
      <c r="B19" s="64" t="s">
        <v>536</v>
      </c>
      <c r="C19" s="75" t="n">
        <f aca="false">C9*C10*0.00452</f>
        <v>33.3576</v>
      </c>
      <c r="D19" s="75" t="n">
        <f aca="false">D9*D10*0.00452</f>
        <v>32.8152</v>
      </c>
      <c r="E19" s="75" t="n">
        <f aca="false">E9*E10*0.00452</f>
        <v>28.024</v>
      </c>
      <c r="F19" s="75" t="n">
        <f aca="false">F9*F10*0.00452</f>
        <v>28.024</v>
      </c>
      <c r="G19" s="75" t="n">
        <f aca="false">G9*G10*0.00452</f>
        <v>24.182</v>
      </c>
      <c r="H19" s="75" t="n">
        <v>21.12</v>
      </c>
      <c r="I19" s="75" t="n">
        <f aca="false">I9*I10*0.00452</f>
        <v>29.38</v>
      </c>
      <c r="J19" s="75" t="n">
        <v>28</v>
      </c>
      <c r="K19" s="75" t="n">
        <v>30.58</v>
      </c>
      <c r="L19" s="75"/>
      <c r="M19" s="66" t="s">
        <v>537</v>
      </c>
    </row>
    <row r="20" customFormat="false" ht="23.85" hidden="false" customHeight="false" outlineLevel="0" collapsed="false">
      <c r="B20" s="64" t="s">
        <v>538</v>
      </c>
      <c r="C20" s="65" t="s">
        <v>532</v>
      </c>
      <c r="D20" s="65" t="s">
        <v>532</v>
      </c>
      <c r="E20" s="65" t="s">
        <v>532</v>
      </c>
      <c r="F20" s="65" t="s">
        <v>532</v>
      </c>
      <c r="G20" s="65" t="s">
        <v>532</v>
      </c>
      <c r="H20" s="65" t="s">
        <v>539</v>
      </c>
      <c r="I20" s="65" t="s">
        <v>532</v>
      </c>
      <c r="J20" s="65" t="s">
        <v>540</v>
      </c>
      <c r="K20" s="65" t="s">
        <v>539</v>
      </c>
      <c r="L20" s="65"/>
      <c r="M20" s="66" t="s">
        <v>541</v>
      </c>
    </row>
    <row r="21" customFormat="false" ht="15" hidden="false" customHeight="false" outlineLevel="0" collapsed="false">
      <c r="B21" s="64" t="s">
        <v>542</v>
      </c>
      <c r="C21" s="65" t="s">
        <v>532</v>
      </c>
      <c r="D21" s="65" t="s">
        <v>532</v>
      </c>
      <c r="E21" s="65" t="s">
        <v>532</v>
      </c>
      <c r="F21" s="65" t="s">
        <v>532</v>
      </c>
      <c r="G21" s="65" t="s">
        <v>532</v>
      </c>
      <c r="H21" s="65" t="s">
        <v>543</v>
      </c>
      <c r="I21" s="65" t="s">
        <v>532</v>
      </c>
      <c r="J21" s="65" t="s">
        <v>544</v>
      </c>
      <c r="K21" s="65" t="s">
        <v>543</v>
      </c>
      <c r="L21" s="65"/>
      <c r="M21" s="66" t="s">
        <v>545</v>
      </c>
    </row>
    <row r="22" customFormat="false" ht="57.45" hidden="false" customHeight="false" outlineLevel="0" collapsed="false">
      <c r="B22" s="64" t="s">
        <v>546</v>
      </c>
      <c r="C22" s="65" t="s">
        <v>532</v>
      </c>
      <c r="D22" s="65" t="s">
        <v>532</v>
      </c>
      <c r="E22" s="65" t="s">
        <v>532</v>
      </c>
      <c r="F22" s="65" t="s">
        <v>532</v>
      </c>
      <c r="G22" s="65" t="s">
        <v>532</v>
      </c>
      <c r="H22" s="65" t="s">
        <v>547</v>
      </c>
      <c r="I22" s="65" t="s">
        <v>532</v>
      </c>
      <c r="J22" s="65" t="s">
        <v>548</v>
      </c>
      <c r="K22" s="65" t="s">
        <v>547</v>
      </c>
      <c r="L22" s="65"/>
      <c r="M22" s="66" t="s">
        <v>549</v>
      </c>
    </row>
    <row r="23" customFormat="false" ht="35.05" hidden="false" customHeight="false" outlineLevel="0" collapsed="false">
      <c r="B23" s="64" t="s">
        <v>550</v>
      </c>
      <c r="C23" s="65" t="s">
        <v>551</v>
      </c>
      <c r="D23" s="65" t="s">
        <v>551</v>
      </c>
      <c r="E23" s="65" t="s">
        <v>551</v>
      </c>
      <c r="F23" s="65" t="s">
        <v>551</v>
      </c>
      <c r="G23" s="65" t="s">
        <v>551</v>
      </c>
      <c r="H23" s="67" t="s">
        <v>552</v>
      </c>
      <c r="I23" s="65" t="s">
        <v>551</v>
      </c>
      <c r="J23" s="65" t="s">
        <v>553</v>
      </c>
      <c r="K23" s="67" t="s">
        <v>552</v>
      </c>
      <c r="L23" s="65"/>
      <c r="M23" s="68" t="s">
        <v>554</v>
      </c>
    </row>
    <row r="24" customFormat="false" ht="46.25" hidden="false" customHeight="false" outlineLevel="0" collapsed="false">
      <c r="B24" s="64" t="s">
        <v>555</v>
      </c>
      <c r="C24" s="65" t="s">
        <v>556</v>
      </c>
      <c r="D24" s="65" t="s">
        <v>556</v>
      </c>
      <c r="E24" s="65" t="s">
        <v>557</v>
      </c>
      <c r="F24" s="65" t="s">
        <v>557</v>
      </c>
      <c r="G24" s="65" t="s">
        <v>558</v>
      </c>
      <c r="H24" s="65" t="s">
        <v>559</v>
      </c>
      <c r="I24" s="65" t="s">
        <v>560</v>
      </c>
      <c r="J24" s="65" t="s">
        <v>561</v>
      </c>
      <c r="K24" s="65" t="s">
        <v>562</v>
      </c>
      <c r="L24" s="65"/>
      <c r="M24" s="66" t="s">
        <v>563</v>
      </c>
    </row>
    <row r="25" customFormat="false" ht="15" hidden="false" customHeight="false" outlineLevel="0" collapsed="false">
      <c r="B25" s="7" t="s">
        <v>564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customFormat="false" ht="19.4" hidden="false" customHeight="false" outlineLevel="0" collapsed="false">
      <c r="B26" s="64" t="s">
        <v>565</v>
      </c>
      <c r="C26" s="78" t="n">
        <v>18228.7</v>
      </c>
      <c r="D26" s="78" t="n">
        <v>17307.9</v>
      </c>
      <c r="E26" s="78" t="n">
        <v>14220.34</v>
      </c>
      <c r="F26" s="78" t="n">
        <v>15220.34</v>
      </c>
      <c r="G26" s="78" t="n">
        <v>11158.91</v>
      </c>
      <c r="H26" s="78" t="n">
        <v>12387.64</v>
      </c>
      <c r="I26" s="78" t="n">
        <v>16780.54</v>
      </c>
      <c r="J26" s="78" t="n">
        <v>18733</v>
      </c>
      <c r="K26" s="78" t="n">
        <v>16890</v>
      </c>
      <c r="L26" s="79"/>
      <c r="M26" s="66" t="s">
        <v>566</v>
      </c>
    </row>
    <row r="27" customFormat="false" ht="22.35" hidden="false" customHeight="false" outlineLevel="0" collapsed="false">
      <c r="B27" s="64" t="s">
        <v>567</v>
      </c>
      <c r="C27" s="78" t="n">
        <v>0</v>
      </c>
      <c r="D27" s="78" t="n">
        <v>0</v>
      </c>
      <c r="E27" s="78" t="n">
        <v>1800</v>
      </c>
      <c r="F27" s="78" t="n">
        <v>1800</v>
      </c>
      <c r="G27" s="78" t="n">
        <v>0</v>
      </c>
      <c r="H27" s="78" t="n">
        <v>0</v>
      </c>
      <c r="I27" s="78" t="n">
        <v>1800</v>
      </c>
      <c r="J27" s="78" t="n">
        <v>0</v>
      </c>
      <c r="K27" s="78" t="n">
        <v>0</v>
      </c>
      <c r="L27" s="79"/>
      <c r="M27" s="68" t="s">
        <v>568</v>
      </c>
    </row>
    <row r="28" customFormat="false" ht="19.4" hidden="false" customHeight="false" outlineLevel="0" collapsed="false">
      <c r="B28" s="64" t="s">
        <v>569</v>
      </c>
      <c r="C28" s="78" t="n">
        <v>790</v>
      </c>
      <c r="D28" s="78" t="n">
        <v>790</v>
      </c>
      <c r="E28" s="78" t="n">
        <v>0</v>
      </c>
      <c r="F28" s="78" t="n">
        <v>0</v>
      </c>
      <c r="G28" s="78" t="n">
        <v>790</v>
      </c>
      <c r="H28" s="78" t="n">
        <v>0</v>
      </c>
      <c r="I28" s="78" t="n">
        <v>0</v>
      </c>
      <c r="J28" s="78" t="n">
        <v>0</v>
      </c>
      <c r="K28" s="78" t="n">
        <v>0</v>
      </c>
      <c r="L28" s="79"/>
      <c r="M28" s="66" t="s">
        <v>570</v>
      </c>
    </row>
    <row r="29" customFormat="false" ht="22.35" hidden="false" customHeight="false" outlineLevel="0" collapsed="false">
      <c r="B29" s="64" t="s">
        <v>571</v>
      </c>
      <c r="C29" s="79" t="n">
        <f aca="false">6900/10*C9</f>
        <v>8280</v>
      </c>
      <c r="D29" s="79" t="n">
        <f aca="false">6900/10*D9</f>
        <v>8280</v>
      </c>
      <c r="E29" s="78" t="n">
        <v>0</v>
      </c>
      <c r="F29" s="78" t="n">
        <v>0</v>
      </c>
      <c r="G29" s="78" t="n">
        <v>6900</v>
      </c>
      <c r="H29" s="78" t="n">
        <v>0</v>
      </c>
      <c r="I29" s="78" t="n">
        <v>0</v>
      </c>
      <c r="J29" s="78" t="n">
        <v>0</v>
      </c>
      <c r="K29" s="78" t="n">
        <v>0</v>
      </c>
      <c r="L29" s="79"/>
      <c r="M29" s="68" t="s">
        <v>572</v>
      </c>
    </row>
    <row r="30" customFormat="false" ht="22.35" hidden="false" customHeight="false" outlineLevel="0" collapsed="false">
      <c r="B30" s="64" t="s">
        <v>573</v>
      </c>
      <c r="C30" s="79" t="n">
        <f aca="false">ENTRADAS!$C$28</f>
        <v>2500</v>
      </c>
      <c r="D30" s="79" t="n">
        <f aca="false">ENTRADAS!$C$28</f>
        <v>2500</v>
      </c>
      <c r="E30" s="79" t="n">
        <f aca="false">ENTRADAS!$C$28</f>
        <v>2500</v>
      </c>
      <c r="F30" s="79" t="n">
        <f aca="false">ENTRADAS!$C$28</f>
        <v>2500</v>
      </c>
      <c r="G30" s="79" t="n">
        <f aca="false">ENTRADAS!$C$28</f>
        <v>2500</v>
      </c>
      <c r="H30" s="79" t="n">
        <f aca="false">ENTRADAS!$C$28</f>
        <v>2500</v>
      </c>
      <c r="I30" s="79" t="n">
        <f aca="false">ENTRADAS!$C$28</f>
        <v>2500</v>
      </c>
      <c r="J30" s="79" t="n">
        <f aca="false">ENTRADAS!$C$28</f>
        <v>2500</v>
      </c>
      <c r="K30" s="79" t="n">
        <f aca="false">ENTRADAS!$C$28</f>
        <v>2500</v>
      </c>
      <c r="L30" s="79"/>
      <c r="M30" s="68" t="s">
        <v>574</v>
      </c>
    </row>
    <row r="31" customFormat="false" ht="15" hidden="false" customHeight="false" outlineLevel="0" collapsed="false">
      <c r="B31" s="69" t="s">
        <v>575</v>
      </c>
      <c r="C31" s="80" t="n">
        <f aca="false">SUM(C26:C30)</f>
        <v>29798.7</v>
      </c>
      <c r="D31" s="80" t="n">
        <f aca="false">SUM(D26:D30)</f>
        <v>28877.9</v>
      </c>
      <c r="E31" s="80" t="n">
        <f aca="false">SUM(E26:E30)</f>
        <v>18520.34</v>
      </c>
      <c r="F31" s="80" t="n">
        <f aca="false">SUM(F26:F30)</f>
        <v>19520.34</v>
      </c>
      <c r="G31" s="80" t="n">
        <f aca="false">SUM(G26:G30)</f>
        <v>21348.91</v>
      </c>
      <c r="H31" s="80" t="n">
        <f aca="false">SUM(H26:H30)</f>
        <v>14887.64</v>
      </c>
      <c r="I31" s="80" t="n">
        <f aca="false">SUM(I26:I30)</f>
        <v>21080.54</v>
      </c>
      <c r="J31" s="80" t="n">
        <f aca="false">SUM(J26:J30)</f>
        <v>21233</v>
      </c>
      <c r="K31" s="80" t="n">
        <f aca="false">SUM(K26:K30)</f>
        <v>19390</v>
      </c>
      <c r="L31" s="80"/>
      <c r="M31" s="66" t="s">
        <v>576</v>
      </c>
    </row>
    <row r="32" customFormat="false" ht="15" hidden="false" customHeight="false" outlineLevel="0" collapsed="false">
      <c r="B32" s="69" t="s">
        <v>577</v>
      </c>
      <c r="C32" s="81" t="n">
        <f aca="false">IFERROR(C31/(C12*1000),0)</f>
        <v>4.03776422764228</v>
      </c>
      <c r="D32" s="81" t="n">
        <f aca="false">IFERROR(D31/(D12*1000),0)</f>
        <v>3.97767217630854</v>
      </c>
      <c r="E32" s="81" t="n">
        <f aca="false">IFERROR(E31/(E12*1000),0)</f>
        <v>2.98715161290323</v>
      </c>
      <c r="F32" s="81" t="n">
        <f aca="false">IFERROR(F31/(F12*1000),0)</f>
        <v>3.14844193548387</v>
      </c>
      <c r="G32" s="81" t="n">
        <f aca="false">IFERROR(G31/(G12*1000),0)</f>
        <v>3.99045046728972</v>
      </c>
      <c r="H32" s="81" t="n">
        <f aca="false">IFERROR(H31/(H12*1000),0)</f>
        <v>3.18111965811966</v>
      </c>
      <c r="I32" s="81" t="n">
        <f aca="false">IFERROR(I31/(I12*1000),0)</f>
        <v>3.24316</v>
      </c>
      <c r="J32" s="81" t="n">
        <f aca="false">IFERROR(J31/(J12*1000),0)</f>
        <v>3.59881355932203</v>
      </c>
      <c r="K32" s="81" t="n">
        <f aca="false">IFERROR(K31/(K12*1000),0)</f>
        <v>2.84310850439883</v>
      </c>
      <c r="L32" s="81"/>
      <c r="M32" s="66" t="s">
        <v>578</v>
      </c>
    </row>
    <row r="33" customFormat="false" ht="15" hidden="false" customHeight="false" outlineLevel="0" collapsed="false">
      <c r="B33" s="64" t="s">
        <v>579</v>
      </c>
      <c r="C33" s="82" t="n">
        <f aca="false">IFERROR(C26/(C12*1000),0)</f>
        <v>2.4700135501355</v>
      </c>
      <c r="D33" s="82" t="n">
        <f aca="false">IFERROR(D26/(D12*1000),0)</f>
        <v>2.38400826446281</v>
      </c>
      <c r="E33" s="82" t="s">
        <v>580</v>
      </c>
      <c r="F33" s="82" t="s">
        <v>580</v>
      </c>
      <c r="G33" s="82" t="n">
        <f aca="false">IFERROR(G26/(G12*1000),0)</f>
        <v>2.08577757009346</v>
      </c>
      <c r="H33" s="82" t="s">
        <v>580</v>
      </c>
      <c r="I33" s="82" t="s">
        <v>580</v>
      </c>
      <c r="J33" s="82" t="s">
        <v>580</v>
      </c>
      <c r="K33" s="82" t="s">
        <v>580</v>
      </c>
      <c r="L33" s="82"/>
      <c r="M33" s="66" t="s">
        <v>581</v>
      </c>
    </row>
    <row r="35" customFormat="false" ht="15" hidden="false" customHeight="false" outlineLevel="0" collapsed="false">
      <c r="B35" s="7" t="s">
        <v>582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customFormat="false" ht="15" hidden="false" customHeight="false" outlineLevel="0" collapsed="false">
      <c r="B36" s="64" t="s">
        <v>583</v>
      </c>
      <c r="C36" s="72" t="n">
        <f aca="false">C12*GERACAO!$I$17</f>
        <v>9330.3051831</v>
      </c>
      <c r="D36" s="72" t="n">
        <f aca="false">D12*GERACAO!$I$17</f>
        <v>9178.5929037</v>
      </c>
      <c r="E36" s="72" t="n">
        <f aca="false">E12*GERACAO!$I$17</f>
        <v>7838.467769</v>
      </c>
      <c r="F36" s="72" t="n">
        <f aca="false">F12*GERACAO!$I$17</f>
        <v>7838.467769</v>
      </c>
      <c r="G36" s="72" t="n">
        <f aca="false">G12*GERACAO!$I$17</f>
        <v>6763.83912325</v>
      </c>
      <c r="H36" s="72" t="n">
        <f aca="false">H12*GERACAO!$I$17</f>
        <v>5916.7788966</v>
      </c>
      <c r="I36" s="72" t="n">
        <f aca="false">I12*GERACAO!$I$17</f>
        <v>8217.7484675</v>
      </c>
      <c r="J36" s="72" t="n">
        <f aca="false">J12*GERACAO!$I$17</f>
        <v>7459.1870705</v>
      </c>
      <c r="K36" s="72" t="n">
        <f aca="false">K12*GERACAO!$I$17</f>
        <v>8622.3145459</v>
      </c>
      <c r="L36" s="72"/>
      <c r="M36" s="66" t="s">
        <v>584</v>
      </c>
    </row>
    <row r="37" customFormat="false" ht="15" hidden="false" customHeight="false" outlineLevel="0" collapsed="false">
      <c r="B37" s="64" t="s">
        <v>585</v>
      </c>
      <c r="C37" s="72" t="n">
        <f aca="false">C36/12</f>
        <v>777.525431925</v>
      </c>
      <c r="D37" s="72" t="n">
        <f aca="false">D36/12</f>
        <v>764.882741975</v>
      </c>
      <c r="E37" s="72" t="n">
        <f aca="false">E36/12</f>
        <v>653.205647416667</v>
      </c>
      <c r="F37" s="72" t="n">
        <f aca="false">F36/12</f>
        <v>653.205647416667</v>
      </c>
      <c r="G37" s="72" t="n">
        <f aca="false">G36/12</f>
        <v>563.653260270833</v>
      </c>
      <c r="H37" s="72" t="n">
        <f aca="false">H36/12</f>
        <v>493.06490805</v>
      </c>
      <c r="I37" s="72" t="n">
        <f aca="false">I36/12</f>
        <v>684.812372291667</v>
      </c>
      <c r="J37" s="72" t="n">
        <f aca="false">J36/12</f>
        <v>621.598922541667</v>
      </c>
      <c r="K37" s="72" t="n">
        <f aca="false">K36/12</f>
        <v>718.526212158333</v>
      </c>
      <c r="L37" s="72"/>
      <c r="M37" s="66"/>
    </row>
    <row r="38" customFormat="false" ht="15" hidden="false" customHeight="false" outlineLevel="0" collapsed="false">
      <c r="B38" s="64" t="s">
        <v>586</v>
      </c>
      <c r="C38" s="72" t="n">
        <f aca="false">C36/ENTRADAS!$C$31*ENTRADAS!$C$32</f>
        <v>8503.5692808</v>
      </c>
      <c r="D38" s="72" t="n">
        <f aca="false">D36/ENTRADAS!$C$31*ENTRADAS!$C$32</f>
        <v>8365.2998616</v>
      </c>
      <c r="E38" s="72" t="n">
        <f aca="false">E36/ENTRADAS!$C$31*ENTRADAS!$C$32</f>
        <v>7143.919992</v>
      </c>
      <c r="F38" s="72" t="n">
        <f aca="false">F36/ENTRADAS!$C$31*ENTRADAS!$C$32</f>
        <v>7143.919992</v>
      </c>
      <c r="G38" s="72" t="n">
        <f aca="false">G36/ENTRADAS!$C$31*ENTRADAS!$C$32</f>
        <v>6164.511606</v>
      </c>
      <c r="H38" s="72" t="n">
        <f aca="false">H36/ENTRADAS!$C$31*ENTRADAS!$C$32</f>
        <v>5392.5073488</v>
      </c>
      <c r="I38" s="72" t="n">
        <f aca="false">I36/ENTRADAS!$C$31*ENTRADAS!$C$32</f>
        <v>7489.59354</v>
      </c>
      <c r="J38" s="72" t="n">
        <f aca="false">J36/ENTRADAS!$C$31*ENTRADAS!$C$32</f>
        <v>6798.246444</v>
      </c>
      <c r="K38" s="72" t="n">
        <f aca="false">K36/ENTRADAS!$C$31*ENTRADAS!$C$32</f>
        <v>7858.3119912</v>
      </c>
      <c r="L38" s="72"/>
      <c r="M38" s="66" t="s">
        <v>587</v>
      </c>
    </row>
    <row r="39" customFormat="false" ht="19.4" hidden="false" customHeight="false" outlineLevel="0" collapsed="false">
      <c r="B39" s="64" t="s">
        <v>588</v>
      </c>
      <c r="C39" s="71" t="n">
        <v>10554</v>
      </c>
      <c r="D39" s="71" t="n">
        <v>0</v>
      </c>
      <c r="E39" s="71" t="n">
        <v>8400</v>
      </c>
      <c r="F39" s="71" t="n">
        <v>8400</v>
      </c>
      <c r="G39" s="71" t="n">
        <v>6151</v>
      </c>
      <c r="H39" s="71" t="n">
        <v>6367.5</v>
      </c>
      <c r="I39" s="71" t="n">
        <v>8400</v>
      </c>
      <c r="J39" s="71" t="n">
        <v>7329.96</v>
      </c>
      <c r="K39" s="71" t="n">
        <v>9279.13</v>
      </c>
      <c r="L39" s="72"/>
      <c r="M39" s="66" t="s">
        <v>589</v>
      </c>
    </row>
    <row r="40" customFormat="false" ht="15" hidden="false" customHeight="false" outlineLevel="0" collapsed="false">
      <c r="B40" s="69" t="s">
        <v>590</v>
      </c>
      <c r="C40" s="83" t="n">
        <f aca="false">IFERROR(C36/C39-1,0)</f>
        <v>-0.115946069442865</v>
      </c>
      <c r="D40" s="83" t="n">
        <f aca="false">IFERROR(D36/D39-1,0)</f>
        <v>0</v>
      </c>
      <c r="E40" s="83" t="n">
        <f aca="false">IFERROR(E36/E39-1,0)</f>
        <v>-0.0668490751190475</v>
      </c>
      <c r="F40" s="83" t="n">
        <f aca="false">IFERROR(F36/F39-1,0)</f>
        <v>-0.0668490751190475</v>
      </c>
      <c r="G40" s="83" t="n">
        <f aca="false">IFERROR(G36/G39-1,0)</f>
        <v>0.0996324375304829</v>
      </c>
      <c r="H40" s="83" t="n">
        <f aca="false">IFERROR(H36/H39-1,0)</f>
        <v>-0.0707846255830389</v>
      </c>
      <c r="I40" s="83" t="n">
        <f aca="false">IFERROR(I36/I39-1,0)</f>
        <v>-0.0216966110119046</v>
      </c>
      <c r="J40" s="83" t="n">
        <f aca="false">IFERROR(J36/J39-1,0)</f>
        <v>0.0176299830421995</v>
      </c>
      <c r="K40" s="83" t="n">
        <f aca="false">IFERROR(K36/K39-1,0)</f>
        <v>-0.0707841633967838</v>
      </c>
      <c r="L40" s="83"/>
      <c r="M40" s="68" t="s">
        <v>591</v>
      </c>
    </row>
    <row r="41" customFormat="false" ht="15" hidden="false" customHeight="false" outlineLevel="0" collapsed="false">
      <c r="B41" s="64" t="s">
        <v>592</v>
      </c>
      <c r="C41" s="72" t="n">
        <f aca="false">C12*GERACAO!$J$17</f>
        <v>10488.7105362</v>
      </c>
      <c r="D41" s="72" t="n">
        <f aca="false">D12*GERACAO!$J$17</f>
        <v>10318.1623974</v>
      </c>
      <c r="E41" s="72" t="n">
        <f aca="false">E12*GERACAO!$J$17</f>
        <v>8811.653838</v>
      </c>
      <c r="F41" s="72" t="n">
        <f aca="false">F12*GERACAO!$J$17</f>
        <v>8811.653838</v>
      </c>
      <c r="G41" s="72" t="n">
        <f aca="false">G12*GERACAO!$J$17</f>
        <v>7603.6045215</v>
      </c>
      <c r="H41" s="72" t="n">
        <f aca="false">H12*GERACAO!$J$17</f>
        <v>6651.3774132</v>
      </c>
      <c r="I41" s="72" t="n">
        <f aca="false">I12*GERACAO!$J$17</f>
        <v>9238.024185</v>
      </c>
      <c r="J41" s="72" t="n">
        <f aca="false">J12*GERACAO!$J$17</f>
        <v>8385.283491</v>
      </c>
      <c r="K41" s="72" t="n">
        <f aca="false">K12*GERACAO!$J$17</f>
        <v>9692.8192218</v>
      </c>
      <c r="L41" s="72"/>
      <c r="M41" s="66" t="s">
        <v>593</v>
      </c>
    </row>
    <row r="43" customFormat="false" ht="15" hidden="false" customHeight="false" outlineLevel="0" collapsed="false">
      <c r="B43" s="7" t="s">
        <v>594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 customFormat="false" ht="15" hidden="false" customHeight="false" outlineLevel="0" collapsed="false">
      <c r="B44" s="64" t="s">
        <v>595</v>
      </c>
      <c r="C44" s="84" t="n">
        <f aca="false">IFERROR(C36/(BYD!$F$33*12),0)</f>
        <v>2.03896529350962</v>
      </c>
      <c r="D44" s="84" t="n">
        <f aca="false">IFERROR(D36/(BYD!$F$33*12),0)</f>
        <v>2.00581138629808</v>
      </c>
      <c r="E44" s="84" t="n">
        <f aca="false">IFERROR(E36/(BYD!$F$33*12),0)</f>
        <v>1.71295187259615</v>
      </c>
      <c r="F44" s="84" t="n">
        <f aca="false">IFERROR(F36/(BYD!$F$33*12),0)</f>
        <v>1.71295187259615</v>
      </c>
      <c r="G44" s="84" t="n">
        <f aca="false">IFERROR(G36/(BYD!$F$33*12),0)</f>
        <v>1.47811169651442</v>
      </c>
      <c r="H44" s="84" t="n">
        <f aca="false">IFERROR(H36/(BYD!$F$33*12),0)</f>
        <v>1.29300238125</v>
      </c>
      <c r="I44" s="84" t="n">
        <f aca="false">IFERROR(I36/(BYD!$F$33*12),0)</f>
        <v>1.795836640625</v>
      </c>
      <c r="J44" s="84" t="n">
        <f aca="false">IFERROR(J36/(BYD!$F$33*12),0)</f>
        <v>1.63006710456731</v>
      </c>
      <c r="K44" s="84" t="n">
        <f aca="false">IFERROR(K36/(BYD!$F$33*12),0)</f>
        <v>1.88424705985577</v>
      </c>
      <c r="L44" s="84"/>
      <c r="M44" s="66" t="s">
        <v>596</v>
      </c>
    </row>
    <row r="45" customFormat="false" ht="15" hidden="false" customHeight="false" outlineLevel="0" collapsed="false">
      <c r="B45" s="64" t="s">
        <v>597</v>
      </c>
      <c r="C45" s="84" t="n">
        <f aca="false">IFERROR(C36/(BYD!$F$34*12),0)</f>
        <v>1.32476728548084</v>
      </c>
      <c r="D45" s="84" t="n">
        <f aca="false">IFERROR(D36/(BYD!$F$34*12),0)</f>
        <v>1.3032263540096</v>
      </c>
      <c r="E45" s="84" t="n">
        <f aca="false">IFERROR(E36/(BYD!$F$34*12),0)</f>
        <v>1.11294812601371</v>
      </c>
      <c r="F45" s="84" t="n">
        <f aca="false">IFERROR(F36/(BYD!$F$34*12),0)</f>
        <v>1.11294812601371</v>
      </c>
      <c r="G45" s="84" t="n">
        <f aca="false">IFERROR(G36/(BYD!$F$34*12),0)</f>
        <v>0.960366528092475</v>
      </c>
      <c r="H45" s="84" t="n">
        <f aca="false">IFERROR(H36/(BYD!$F$34*12),0)</f>
        <v>0.840096327378091</v>
      </c>
      <c r="I45" s="84" t="n">
        <f aca="false">IFERROR(I36/(BYD!$F$34*12),0)</f>
        <v>1.16680045469179</v>
      </c>
      <c r="J45" s="84" t="n">
        <f aca="false">IFERROR(J36/(BYD!$F$34*12),0)</f>
        <v>1.05909579733563</v>
      </c>
      <c r="K45" s="84" t="n">
        <f aca="false">IFERROR(K36/(BYD!$F$34*12),0)</f>
        <v>1.22424293861508</v>
      </c>
      <c r="L45" s="84"/>
      <c r="M45" s="66"/>
    </row>
    <row r="46" customFormat="false" ht="15" hidden="false" customHeight="false" outlineLevel="0" collapsed="false">
      <c r="B46" s="69" t="s">
        <v>598</v>
      </c>
      <c r="C46" s="85" t="n">
        <f aca="false">IFERROR(C36/(BYD!$F$35*12),0)</f>
        <v>1.15197155259203</v>
      </c>
      <c r="D46" s="85" t="n">
        <f aca="false">IFERROR(D36/(BYD!$F$35*12),0)</f>
        <v>1.13324030783444</v>
      </c>
      <c r="E46" s="85" t="n">
        <f aca="false">IFERROR(E36/(BYD!$F$35*12),0)</f>
        <v>0.967780979142357</v>
      </c>
      <c r="F46" s="85" t="n">
        <f aca="false">IFERROR(F36/(BYD!$F$35*12),0)</f>
        <v>0.967780979142357</v>
      </c>
      <c r="G46" s="85" t="n">
        <f aca="false">IFERROR(G36/(BYD!$F$35*12),0)</f>
        <v>0.835101328776066</v>
      </c>
      <c r="H46" s="85" t="n">
        <f aca="false">IFERROR(H36/(BYD!$F$35*12),0)</f>
        <v>0.730518545546166</v>
      </c>
      <c r="I46" s="85" t="n">
        <f aca="false">IFERROR(I36/(BYD!$F$35*12),0)</f>
        <v>1.01460909103634</v>
      </c>
      <c r="J46" s="85" t="n">
        <f aca="false">IFERROR(J36/(BYD!$F$35*12),0)</f>
        <v>0.920952867248371</v>
      </c>
      <c r="K46" s="85" t="n">
        <f aca="false">IFERROR(K36/(BYD!$F$35*12),0)</f>
        <v>1.06455907705659</v>
      </c>
      <c r="L46" s="85"/>
      <c r="M46" s="66" t="s">
        <v>599</v>
      </c>
    </row>
    <row r="47" customFormat="false" ht="15" hidden="false" customHeight="false" outlineLevel="0" collapsed="false">
      <c r="B47" s="64" t="s">
        <v>600</v>
      </c>
      <c r="C47" s="72" t="n">
        <f aca="false">C36-BYD!$G$35</f>
        <v>1230.88192728605</v>
      </c>
      <c r="D47" s="72" t="n">
        <f aca="false">D36-BYD!$G$35</f>
        <v>1079.16964788605</v>
      </c>
      <c r="E47" s="72" t="n">
        <f aca="false">E36-BYD!$G$35</f>
        <v>-260.955486813953</v>
      </c>
      <c r="F47" s="72" t="n">
        <f aca="false">F36-BYD!$G$35</f>
        <v>-260.955486813953</v>
      </c>
      <c r="G47" s="72" t="n">
        <f aca="false">G36-BYD!$G$35</f>
        <v>-1335.58413256395</v>
      </c>
      <c r="H47" s="72" t="n">
        <f aca="false">H36-BYD!$G$35</f>
        <v>-2182.64435921395</v>
      </c>
      <c r="I47" s="72" t="n">
        <f aca="false">I36-BYD!$G$35</f>
        <v>118.325211686048</v>
      </c>
      <c r="J47" s="72" t="n">
        <f aca="false">J36-BYD!$G$35</f>
        <v>-640.236185313953</v>
      </c>
      <c r="K47" s="72" t="n">
        <f aca="false">K36-BYD!$G$35</f>
        <v>522.891290086047</v>
      </c>
      <c r="L47" s="72"/>
      <c r="M47" s="66" t="s">
        <v>601</v>
      </c>
    </row>
    <row r="48" customFormat="false" ht="15" hidden="false" customHeight="false" outlineLevel="0" collapsed="false">
      <c r="B48" s="69" t="s">
        <v>602</v>
      </c>
      <c r="C48" s="86" t="n">
        <f aca="false">IFERROR(ROUNDUP(MAX(0,BYD!$G$35-C36)/GERACAO!$I$17*1000/C10,0),0)</f>
        <v>0</v>
      </c>
      <c r="D48" s="86" t="n">
        <f aca="false">IFERROR(ROUNDUP(MAX(0,BYD!$G$35-D36)/GERACAO!$I$17*1000/D10,0),0)</f>
        <v>0</v>
      </c>
      <c r="E48" s="86" t="n">
        <f aca="false">IFERROR(ROUNDUP(MAX(0,BYD!$G$35-E36)/GERACAO!$I$17*1000/E10,0),0)</f>
        <v>1</v>
      </c>
      <c r="F48" s="86" t="n">
        <f aca="false">IFERROR(ROUNDUP(MAX(0,BYD!$G$35-F36)/GERACAO!$I$17*1000/F10,0),0)</f>
        <v>1</v>
      </c>
      <c r="G48" s="86" t="n">
        <f aca="false">IFERROR(ROUNDUP(MAX(0,BYD!$G$35-G36)/GERACAO!$I$17*1000/G10,0),0)</f>
        <v>2</v>
      </c>
      <c r="H48" s="86" t="n">
        <f aca="false">IFERROR(ROUNDUP(MAX(0,BYD!$G$35-H36)/GERACAO!$I$17*1000/H10,0),0)</f>
        <v>3</v>
      </c>
      <c r="I48" s="86" t="n">
        <f aca="false">IFERROR(ROUNDUP(MAX(0,BYD!$G$35-I36)/GERACAO!$I$17*1000/I10,0),0)</f>
        <v>0</v>
      </c>
      <c r="J48" s="86" t="n">
        <f aca="false">IFERROR(ROUNDUP(MAX(0,BYD!$G$35-J36)/GERACAO!$I$17*1000/J10,0),0)</f>
        <v>1</v>
      </c>
      <c r="K48" s="86" t="n">
        <f aca="false">IFERROR(ROUNDUP(MAX(0,BYD!$G$35-K36)/GERACAO!$I$17*1000/K10,0),0)</f>
        <v>0</v>
      </c>
      <c r="L48" s="86"/>
      <c r="M48" s="66"/>
    </row>
    <row r="49" customFormat="false" ht="15" hidden="false" customHeight="false" outlineLevel="0" collapsed="false">
      <c r="B49" s="69" t="s">
        <v>603</v>
      </c>
      <c r="C49" s="87" t="n">
        <f aca="false">IFERROR(ROUNDUP(BYD!$C$13*12/GERACAO!$I$17*1000/C10,0),0)</f>
        <v>4</v>
      </c>
      <c r="D49" s="87" t="n">
        <f aca="false">IFERROR(ROUNDUP(BYD!$C$13*12/GERACAO!$I$17*1000/D10,0),0)</f>
        <v>4</v>
      </c>
      <c r="E49" s="87" t="n">
        <f aca="false">IFERROR(ROUNDUP(BYD!$C$13*12/GERACAO!$I$17*1000/E10,0),0)</f>
        <v>4</v>
      </c>
      <c r="F49" s="87" t="n">
        <f aca="false">IFERROR(ROUNDUP(BYD!$C$13*12/GERACAO!$I$17*1000/F10,0),0)</f>
        <v>4</v>
      </c>
      <c r="G49" s="87" t="n">
        <f aca="false">IFERROR(ROUNDUP(BYD!$C$13*12/GERACAO!$I$17*1000/G10,0),0)</f>
        <v>4</v>
      </c>
      <c r="H49" s="87" t="n">
        <f aca="false">IFERROR(ROUNDUP(BYD!$C$13*12/GERACAO!$I$17*1000/H10,0),0)</f>
        <v>4</v>
      </c>
      <c r="I49" s="87" t="n">
        <f aca="false">IFERROR(ROUNDUP(BYD!$C$13*12/GERACAO!$I$17*1000/I10,0),0)</f>
        <v>4</v>
      </c>
      <c r="J49" s="87" t="n">
        <f aca="false">IFERROR(ROUNDUP(BYD!$C$13*12/GERACAO!$I$17*1000/J10,0),0)</f>
        <v>4</v>
      </c>
      <c r="K49" s="87" t="n">
        <f aca="false">IFERROR(ROUNDUP(BYD!$C$13*12/GERACAO!$I$17*1000/K10,0),0)</f>
        <v>4</v>
      </c>
      <c r="L49" s="87"/>
      <c r="M49" s="66" t="s">
        <v>604</v>
      </c>
    </row>
    <row r="50" customFormat="false" ht="32.8" hidden="false" customHeight="false" outlineLevel="0" collapsed="false">
      <c r="B50" s="64" t="s">
        <v>605</v>
      </c>
      <c r="C50" s="65" t="str">
        <f aca="false">C14&amp;" kW = "&amp;TEXT(C14*1000/220,"0")&amp;" A"</f>
        <v>6 kW = 27 A</v>
      </c>
      <c r="D50" s="65" t="str">
        <f aca="false">D14&amp;" kW = "&amp;TEXT(D14*1000/220,"0")&amp;" A"</f>
        <v>6 kW = 27 A</v>
      </c>
      <c r="E50" s="65" t="str">
        <f aca="false">E14&amp;" kW = "&amp;TEXT(E14*1000/220,"0")&amp;" A"</f>
        <v>5 kW = 23 A</v>
      </c>
      <c r="F50" s="65" t="str">
        <f aca="false">F14&amp;" kW = "&amp;TEXT(F14*1000/220,"0")&amp;" A"</f>
        <v>5 kW = 23 A</v>
      </c>
      <c r="G50" s="65" t="str">
        <f aca="false">G14&amp;" kW = "&amp;TEXT(G14*1000/220,"0")&amp;" A"</f>
        <v>4 kW = 18 A</v>
      </c>
      <c r="H50" s="65" t="str">
        <f aca="false">H14&amp;" kW = "&amp;TEXT(H14*1000/220,"0")&amp;" A"</f>
        <v>3 kW = 14 A</v>
      </c>
      <c r="I50" s="65" t="str">
        <f aca="false">I14&amp;" kW = "&amp;TEXT(I14*1000/220,"0")&amp;" A"</f>
        <v>9 kW = 41 A</v>
      </c>
      <c r="J50" s="65" t="str">
        <f aca="false">J14&amp;" kW = "&amp;TEXT(J14*1000/220,"0")&amp;" A"</f>
        <v>5 kW = 23 A</v>
      </c>
      <c r="K50" s="65" t="str">
        <f aca="false">K14&amp;" kW = "&amp;TEXT(K14*1000/220,"0")&amp;" A"</f>
        <v>7.5 kW = 34 A</v>
      </c>
      <c r="L50" s="65"/>
      <c r="M50" s="68" t="s">
        <v>606</v>
      </c>
    </row>
    <row r="51" customFormat="false" ht="15" hidden="false" customHeight="false" outlineLevel="0" collapsed="false">
      <c r="B51" s="7" t="s">
        <v>607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customFormat="false" ht="15" hidden="false" customHeight="false" outlineLevel="0" collapsed="false">
      <c r="B52" s="64" t="s">
        <v>608</v>
      </c>
      <c r="C52" s="79" t="n">
        <f aca="false">CONTA!$C$54</f>
        <v>410.62787654321</v>
      </c>
      <c r="D52" s="79" t="n">
        <f aca="false">CONTA!$C$54</f>
        <v>410.62787654321</v>
      </c>
      <c r="E52" s="79" t="n">
        <f aca="false">CONTA!$C$54</f>
        <v>410.62787654321</v>
      </c>
      <c r="F52" s="79" t="n">
        <f aca="false">CONTA!$C$54</f>
        <v>410.62787654321</v>
      </c>
      <c r="G52" s="79" t="n">
        <f aca="false">CONTA!$C$54</f>
        <v>410.62787654321</v>
      </c>
      <c r="H52" s="79" t="n">
        <f aca="false">CONTA!$C$54</f>
        <v>410.62787654321</v>
      </c>
      <c r="I52" s="79" t="n">
        <f aca="false">CONTA!$C$54</f>
        <v>410.62787654321</v>
      </c>
      <c r="J52" s="79" t="n">
        <f aca="false">CONTA!$C$54</f>
        <v>410.62787654321</v>
      </c>
      <c r="K52" s="79" t="n">
        <f aca="false">CONTA!$C$54</f>
        <v>410.62787654321</v>
      </c>
      <c r="L52" s="79"/>
      <c r="M52" s="66" t="s">
        <v>609</v>
      </c>
    </row>
    <row r="53" customFormat="false" ht="15" hidden="false" customHeight="false" outlineLevel="0" collapsed="false">
      <c r="B53" s="64" t="s">
        <v>610</v>
      </c>
      <c r="C53" s="79" t="n">
        <f aca="false">ECONOMIA!C8/12</f>
        <v>710.553156093023</v>
      </c>
      <c r="D53" s="79" t="n">
        <f aca="false">ECONOMIA!D8/12</f>
        <v>710.553156093023</v>
      </c>
      <c r="E53" s="79" t="n">
        <f aca="false">ECONOMIA!E8/12</f>
        <v>710.553156093023</v>
      </c>
      <c r="F53" s="79" t="n">
        <f aca="false">ECONOMIA!F8/12</f>
        <v>710.553156093023</v>
      </c>
      <c r="G53" s="79" t="n">
        <f aca="false">ECONOMIA!G8/12</f>
        <v>710.553156093023</v>
      </c>
      <c r="H53" s="79" t="n">
        <f aca="false">ECONOMIA!H8/12</f>
        <v>710.553156093023</v>
      </c>
      <c r="I53" s="79" t="n">
        <f aca="false">ECONOMIA!I8/12</f>
        <v>710.553156093023</v>
      </c>
      <c r="J53" s="79" t="n">
        <f aca="false">ECONOMIA!J8/12</f>
        <v>710.553156093023</v>
      </c>
      <c r="K53" s="79" t="n">
        <f aca="false">ECONOMIA!K8/12</f>
        <v>710.553156093023</v>
      </c>
      <c r="L53" s="79"/>
      <c r="M53" s="66" t="s">
        <v>611</v>
      </c>
    </row>
    <row r="54" customFormat="false" ht="15" hidden="false" customHeight="false" outlineLevel="0" collapsed="false">
      <c r="B54" s="69" t="s">
        <v>612</v>
      </c>
      <c r="C54" s="88" t="n">
        <f aca="false">ECONOMIA!C19</f>
        <v>162.893279261767</v>
      </c>
      <c r="D54" s="88" t="n">
        <f aca="false">ECONOMIA!D19</f>
        <v>162.893279261767</v>
      </c>
      <c r="E54" s="88" t="n">
        <f aca="false">ECONOMIA!E19</f>
        <v>164.294054390772</v>
      </c>
      <c r="F54" s="88" t="n">
        <f aca="false">ECONOMIA!F19</f>
        <v>164.294054390772</v>
      </c>
      <c r="G54" s="88" t="n">
        <f aca="false">ECONOMIA!G19</f>
        <v>219.515548258055</v>
      </c>
      <c r="H54" s="88" t="n">
        <f aca="false">ECONOMIA!H19</f>
        <v>281.009977650472</v>
      </c>
      <c r="I54" s="88" t="n">
        <f aca="false">ECONOMIA!I19</f>
        <v>162.893279261767</v>
      </c>
      <c r="J54" s="88" t="n">
        <f aca="false">ECONOMIA!J19</f>
        <v>169.035046518012</v>
      </c>
      <c r="K54" s="88" t="n">
        <f aca="false">ECONOMIA!K19</f>
        <v>162.893279261767</v>
      </c>
      <c r="L54" s="88"/>
      <c r="M54" s="68" t="s">
        <v>613</v>
      </c>
    </row>
    <row r="55" customFormat="false" ht="15" hidden="false" customHeight="false" outlineLevel="0" collapsed="false">
      <c r="B55" s="64" t="s">
        <v>614</v>
      </c>
      <c r="C55" s="79" t="n">
        <f aca="false">ECONOMIA!C26</f>
        <v>6121.91852197507</v>
      </c>
      <c r="D55" s="79" t="n">
        <f aca="false">ECONOMIA!D26</f>
        <v>6121.91852197507</v>
      </c>
      <c r="E55" s="79" t="n">
        <f aca="false">ECONOMIA!E26</f>
        <v>6105.10922042702</v>
      </c>
      <c r="F55" s="79" t="n">
        <f aca="false">ECONOMIA!F26</f>
        <v>6105.10922042702</v>
      </c>
      <c r="G55" s="79" t="n">
        <f aca="false">ECONOMIA!G26</f>
        <v>5442.45129401962</v>
      </c>
      <c r="H55" s="79" t="n">
        <f aca="false">ECONOMIA!H26</f>
        <v>4704.51814131062</v>
      </c>
      <c r="I55" s="79" t="n">
        <f aca="false">ECONOMIA!I26</f>
        <v>6121.91852197507</v>
      </c>
      <c r="J55" s="79" t="n">
        <f aca="false">ECONOMIA!J26</f>
        <v>6048.21731490014</v>
      </c>
      <c r="K55" s="79" t="n">
        <f aca="false">ECONOMIA!K26</f>
        <v>6121.91852197507</v>
      </c>
      <c r="L55" s="79"/>
      <c r="M55" s="66"/>
    </row>
    <row r="56" customFormat="false" ht="15" hidden="false" customHeight="false" outlineLevel="0" collapsed="false">
      <c r="B56" s="69" t="s">
        <v>615</v>
      </c>
      <c r="C56" s="88" t="n">
        <f aca="false">C55/12</f>
        <v>510.159876831256</v>
      </c>
      <c r="D56" s="88" t="n">
        <f aca="false">D55/12</f>
        <v>510.159876831256</v>
      </c>
      <c r="E56" s="88" t="n">
        <f aca="false">E55/12</f>
        <v>508.759101702252</v>
      </c>
      <c r="F56" s="88" t="n">
        <f aca="false">F55/12</f>
        <v>508.759101702252</v>
      </c>
      <c r="G56" s="88" t="n">
        <f aca="false">G55/12</f>
        <v>453.537607834968</v>
      </c>
      <c r="H56" s="88" t="n">
        <f aca="false">H55/12</f>
        <v>392.043178442552</v>
      </c>
      <c r="I56" s="88" t="n">
        <f aca="false">I55/12</f>
        <v>510.159876831256</v>
      </c>
      <c r="J56" s="88" t="n">
        <f aca="false">J55/12</f>
        <v>504.018109575012</v>
      </c>
      <c r="K56" s="88" t="n">
        <f aca="false">K55/12</f>
        <v>510.159876831256</v>
      </c>
      <c r="L56" s="88"/>
      <c r="M56" s="66"/>
    </row>
    <row r="57" customFormat="false" ht="19.4" hidden="false" customHeight="false" outlineLevel="0" collapsed="false">
      <c r="B57" s="69" t="s">
        <v>616</v>
      </c>
      <c r="C57" s="89" t="n">
        <f aca="false">IFERROR(C31/C55,0)</f>
        <v>4.86754273076902</v>
      </c>
      <c r="D57" s="89" t="n">
        <f aca="false">IFERROR(D31/D55,0)</f>
        <v>4.71713236566947</v>
      </c>
      <c r="E57" s="89" t="n">
        <f aca="false">IFERROR(E31/E55,0)</f>
        <v>3.03358045389802</v>
      </c>
      <c r="F57" s="89" t="n">
        <f aca="false">IFERROR(F31/F55,0)</f>
        <v>3.19737768731264</v>
      </c>
      <c r="G57" s="89" t="n">
        <f aca="false">IFERROR(G31/G55,0)</f>
        <v>3.92266441106401</v>
      </c>
      <c r="H57" s="89" t="n">
        <f aca="false">IFERROR(H31/H55,0)</f>
        <v>3.1645408844895</v>
      </c>
      <c r="I57" s="89" t="n">
        <f aca="false">IFERROR(I31/I55,0)</f>
        <v>3.44345321231079</v>
      </c>
      <c r="J57" s="89" t="n">
        <f aca="false">IFERROR(J31/J55,0)</f>
        <v>3.51062121192161</v>
      </c>
      <c r="K57" s="89" t="n">
        <f aca="false">IFERROR(K31/K55,0)</f>
        <v>3.16730775334533</v>
      </c>
      <c r="L57" s="89"/>
      <c r="M57" s="66" t="s">
        <v>617</v>
      </c>
    </row>
    <row r="58" customFormat="false" ht="15" hidden="false" customHeight="false" outlineLevel="0" collapsed="false">
      <c r="B58" s="64" t="s">
        <v>618</v>
      </c>
      <c r="C58" s="90" t="n">
        <f aca="false">PROJECAO!E10</f>
        <v>34868.8793416317</v>
      </c>
      <c r="D58" s="90" t="n">
        <f aca="false">PROJECAO!H10</f>
        <v>34868.8793416317</v>
      </c>
      <c r="E58" s="90" t="n">
        <f aca="false">PROJECAO!K10</f>
        <v>34773.1378668975</v>
      </c>
      <c r="F58" s="90" t="n">
        <f aca="false">PROJECAO!N10</f>
        <v>34773.1378668975</v>
      </c>
      <c r="G58" s="90" t="n">
        <f aca="false">PROJECAO!Q10</f>
        <v>30998.8081044653</v>
      </c>
      <c r="H58" s="90" t="n">
        <f aca="false">PROJECAO!T10</f>
        <v>26795.7299400571</v>
      </c>
      <c r="I58" s="90" t="n">
        <f aca="false">PROJECAO!W10</f>
        <v>34868.8793416317</v>
      </c>
      <c r="J58" s="90" t="n">
        <f aca="false">PROJECAO!Z10</f>
        <v>34449.0961498751</v>
      </c>
      <c r="K58" s="90" t="n">
        <f aca="false">PROJECAO!AC10</f>
        <v>34868.8793416317</v>
      </c>
      <c r="L58" s="90"/>
      <c r="M58" s="66"/>
    </row>
    <row r="59" customFormat="false" ht="15" hidden="false" customHeight="false" outlineLevel="0" collapsed="false">
      <c r="B59" s="64" t="s">
        <v>619</v>
      </c>
      <c r="C59" s="90" t="n">
        <f aca="false">PROJECAO!E15</f>
        <v>82683.773630833</v>
      </c>
      <c r="D59" s="90" t="n">
        <f aca="false">PROJECAO!H15</f>
        <v>82683.773630833</v>
      </c>
      <c r="E59" s="90" t="n">
        <f aca="false">PROJECAO!K15</f>
        <v>82456.7440682698</v>
      </c>
      <c r="F59" s="90" t="n">
        <f aca="false">PROJECAO!N15</f>
        <v>82456.7440682698</v>
      </c>
      <c r="G59" s="90" t="n">
        <f aca="false">PROJECAO!Q15</f>
        <v>73506.7624922213</v>
      </c>
      <c r="H59" s="90" t="n">
        <f aca="false">PROJECAO!T15</f>
        <v>63540.0996667917</v>
      </c>
      <c r="I59" s="90" t="n">
        <f aca="false">PROJECAO!W15</f>
        <v>82683.773630833</v>
      </c>
      <c r="J59" s="90" t="n">
        <f aca="false">PROJECAO!Z15</f>
        <v>81688.351378768</v>
      </c>
      <c r="K59" s="90" t="n">
        <f aca="false">PROJECAO!AC15</f>
        <v>82683.773630833</v>
      </c>
      <c r="L59" s="90"/>
      <c r="M59" s="66"/>
    </row>
    <row r="60" customFormat="false" ht="15" hidden="false" customHeight="false" outlineLevel="0" collapsed="false">
      <c r="B60" s="64" t="s">
        <v>620</v>
      </c>
      <c r="C60" s="90" t="n">
        <f aca="false">PROJECAO!E25</f>
        <v>238162.405280052</v>
      </c>
      <c r="D60" s="90" t="n">
        <f aca="false">PROJECAO!H25</f>
        <v>238162.405280052</v>
      </c>
      <c r="E60" s="90" t="n">
        <f aca="false">PROJECAO!K25</f>
        <v>237508.469153103</v>
      </c>
      <c r="F60" s="90" t="n">
        <f aca="false">PROJECAO!N25</f>
        <v>237508.469153103</v>
      </c>
      <c r="G60" s="90" t="n">
        <f aca="false">PROJECAO!Q25</f>
        <v>211728.935324847</v>
      </c>
      <c r="H60" s="90" t="n">
        <f aca="false">PROJECAO!T25</f>
        <v>183020.952042449</v>
      </c>
      <c r="I60" s="90" t="n">
        <f aca="false">PROJECAO!W25</f>
        <v>238162.405280052</v>
      </c>
      <c r="J60" s="90" t="n">
        <f aca="false">PROJECAO!Z25</f>
        <v>235295.19025816</v>
      </c>
      <c r="K60" s="90" t="n">
        <f aca="false">PROJECAO!AC25</f>
        <v>238162.405280052</v>
      </c>
      <c r="L60" s="90"/>
      <c r="M60" s="66"/>
    </row>
    <row r="61" customFormat="false" ht="19.4" hidden="false" customHeight="false" outlineLevel="0" collapsed="false">
      <c r="B61" s="69" t="s">
        <v>621</v>
      </c>
      <c r="C61" s="91" t="n">
        <f aca="false">C60-C31</f>
        <v>208363.705280052</v>
      </c>
      <c r="D61" s="91" t="n">
        <f aca="false">D60-D31</f>
        <v>209284.505280052</v>
      </c>
      <c r="E61" s="91" t="n">
        <f aca="false">E60-E31</f>
        <v>218988.129153103</v>
      </c>
      <c r="F61" s="91" t="n">
        <f aca="false">F60-F31</f>
        <v>217988.129153103</v>
      </c>
      <c r="G61" s="91" t="n">
        <f aca="false">G60-G31</f>
        <v>190380.025324847</v>
      </c>
      <c r="H61" s="91" t="n">
        <f aca="false">H60-H31</f>
        <v>168133.312042449</v>
      </c>
      <c r="I61" s="91" t="n">
        <f aca="false">I60-I31</f>
        <v>217081.865280052</v>
      </c>
      <c r="J61" s="91" t="n">
        <f aca="false">J60-J31</f>
        <v>214062.19025816</v>
      </c>
      <c r="K61" s="91" t="n">
        <f aca="false">K60-K31</f>
        <v>218772.405280052</v>
      </c>
      <c r="L61" s="91"/>
      <c r="M61" s="66" t="s">
        <v>622</v>
      </c>
    </row>
    <row r="62" customFormat="false" ht="15" hidden="false" customHeight="false" outlineLevel="0" collapsed="false">
      <c r="B62" s="64" t="s">
        <v>623</v>
      </c>
      <c r="C62" s="84" t="n">
        <f aca="false">IFERROR(C61/C31,0)</f>
        <v>6.99237568350472</v>
      </c>
      <c r="D62" s="84" t="n">
        <f aca="false">IFERROR(D61/D31,0)</f>
        <v>7.24722037544461</v>
      </c>
      <c r="E62" s="84" t="n">
        <f aca="false">IFERROR(E61/E31,0)</f>
        <v>11.8241959463543</v>
      </c>
      <c r="F62" s="84" t="n">
        <f aca="false">IFERROR(F61/F31,0)</f>
        <v>11.1672301380561</v>
      </c>
      <c r="G62" s="84" t="n">
        <f aca="false">IFERROR(G61/G31,0)</f>
        <v>8.91755248042393</v>
      </c>
      <c r="H62" s="84" t="n">
        <f aca="false">IFERROR(H61/H31,0)</f>
        <v>11.2934831875602</v>
      </c>
      <c r="I62" s="84" t="n">
        <f aca="false">IFERROR(I61/I31,0)</f>
        <v>10.2977374052113</v>
      </c>
      <c r="J62" s="84" t="n">
        <f aca="false">IFERROR(J61/J31,0)</f>
        <v>10.0815800997579</v>
      </c>
      <c r="K62" s="84" t="n">
        <f aca="false">IFERROR(K61/K31,0)</f>
        <v>11.2827439546185</v>
      </c>
      <c r="L62" s="84"/>
      <c r="M62" s="66"/>
    </row>
    <row r="64" customFormat="false" ht="15" hidden="false" customHeight="false" outlineLevel="0" collapsed="false">
      <c r="B64" s="7" t="s">
        <v>624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B65" s="64" t="s">
        <v>625</v>
      </c>
      <c r="C65" s="75" t="n">
        <f aca="false">C14*1.35</f>
        <v>8.1</v>
      </c>
      <c r="D65" s="75" t="n">
        <f aca="false">D14*1.35</f>
        <v>8.1</v>
      </c>
      <c r="E65" s="75" t="n">
        <f aca="false">E14*1.35</f>
        <v>6.75</v>
      </c>
      <c r="F65" s="75" t="n">
        <f aca="false">F14*1.35</f>
        <v>6.75</v>
      </c>
      <c r="G65" s="75" t="n">
        <f aca="false">G14*1.35</f>
        <v>5.4</v>
      </c>
      <c r="H65" s="75" t="n">
        <f aca="false">H14*1.35</f>
        <v>4.05</v>
      </c>
      <c r="I65" s="75" t="n">
        <f aca="false">I14*1.35</f>
        <v>12.15</v>
      </c>
      <c r="J65" s="75" t="n">
        <f aca="false">J14*1.35</f>
        <v>6.75</v>
      </c>
      <c r="K65" s="75" t="n">
        <f aca="false">K14*1.35</f>
        <v>10.125</v>
      </c>
      <c r="L65" s="75"/>
      <c r="M65" s="66"/>
    </row>
    <row r="66" customFormat="false" ht="32.8" hidden="false" customHeight="false" outlineLevel="0" collapsed="false">
      <c r="B66" s="69" t="s">
        <v>626</v>
      </c>
      <c r="C66" s="86" t="n">
        <f aca="false">MAX(0,ROUNDDOWN((C65-C12)*1000/C10,0))</f>
        <v>1</v>
      </c>
      <c r="D66" s="86" t="n">
        <f aca="false">MAX(0,ROUNDDOWN((D65-D12)*1000/D10,0))</f>
        <v>1</v>
      </c>
      <c r="E66" s="86" t="n">
        <f aca="false">MAX(0,ROUNDDOWN((E65-E12)*1000/E10,0))</f>
        <v>0</v>
      </c>
      <c r="F66" s="86" t="n">
        <f aca="false">MAX(0,ROUNDDOWN((F65-F12)*1000/F10,0))</f>
        <v>0</v>
      </c>
      <c r="G66" s="86" t="n">
        <f aca="false">MAX(0,ROUNDDOWN((G65-G12)*1000/G10,0))</f>
        <v>0</v>
      </c>
      <c r="H66" s="86" t="n">
        <f aca="false">MAX(0,ROUNDDOWN((H65-H12)*1000/H10,0))</f>
        <v>0</v>
      </c>
      <c r="I66" s="86" t="n">
        <f aca="false">MAX(0,ROUNDDOWN((I65-I12)*1000/I10,0))</f>
        <v>8</v>
      </c>
      <c r="J66" s="86" t="n">
        <f aca="false">MAX(0,ROUNDDOWN((J65-J12)*1000/J10,0))</f>
        <v>1</v>
      </c>
      <c r="K66" s="86" t="n">
        <f aca="false">MAX(0,ROUNDDOWN((K65-K12)*1000/K10,0))</f>
        <v>5</v>
      </c>
      <c r="L66" s="86"/>
      <c r="M66" s="68" t="s">
        <v>627</v>
      </c>
    </row>
    <row r="67" customFormat="false" ht="15" hidden="false" customHeight="false" outlineLevel="0" collapsed="false">
      <c r="B67" s="64" t="s">
        <v>628</v>
      </c>
      <c r="C67" s="72" t="n">
        <f aca="false">C66*C10/1000*GERACAO!$I$17</f>
        <v>777.525431925</v>
      </c>
      <c r="D67" s="72" t="n">
        <f aca="false">D66*D10/1000*GERACAO!$I$17</f>
        <v>764.882741975</v>
      </c>
      <c r="E67" s="72" t="n">
        <f aca="false">E66*E10/1000*GERACAO!$I$17</f>
        <v>0</v>
      </c>
      <c r="F67" s="72" t="n">
        <f aca="false">F66*F10/1000*GERACAO!$I$17</f>
        <v>0</v>
      </c>
      <c r="G67" s="72" t="n">
        <f aca="false">G66*G10/1000*GERACAO!$I$17</f>
        <v>0</v>
      </c>
      <c r="H67" s="72" t="n">
        <f aca="false">H66*H10/1000*GERACAO!$I$17</f>
        <v>0</v>
      </c>
      <c r="I67" s="72" t="n">
        <f aca="false">I66*I10/1000*GERACAO!$I$17</f>
        <v>6574.198774</v>
      </c>
      <c r="J67" s="72" t="n">
        <f aca="false">J66*J10/1000*GERACAO!$I$17</f>
        <v>745.91870705</v>
      </c>
      <c r="K67" s="72" t="n">
        <f aca="false">K66*K10/1000*GERACAO!$I$17</f>
        <v>3919.2338845</v>
      </c>
      <c r="L67" s="72"/>
      <c r="M67" s="66"/>
    </row>
    <row r="68" customFormat="false" ht="28.35" hidden="false" customHeight="false" outlineLevel="0" collapsed="false">
      <c r="B68" s="69" t="s">
        <v>629</v>
      </c>
      <c r="C68" s="92" t="str">
        <f aca="false">IF(C16&gt;1.35,"JA SOBRECARREGADO",IF(C16&lt;1.1,"SUBAPROVEITADO","OK"))</f>
        <v>OK</v>
      </c>
      <c r="D68" s="92" t="str">
        <f aca="false">IF(D16&gt;1.35,"JA SOBRECARREGADO",IF(D16&lt;1.1,"SUBAPROVEITADO","OK"))</f>
        <v>OK</v>
      </c>
      <c r="E68" s="92" t="str">
        <f aca="false">IF(E16&gt;1.35,"JA SOBRECARREGADO",IF(E16&lt;1.1,"SUBAPROVEITADO","OK"))</f>
        <v>OK</v>
      </c>
      <c r="F68" s="92" t="str">
        <f aca="false">IF(F16&gt;1.35,"JA SOBRECARREGADO",IF(F16&lt;1.1,"SUBAPROVEITADO","OK"))</f>
        <v>OK</v>
      </c>
      <c r="G68" s="92" t="str">
        <f aca="false">IF(G16&gt;1.35,"JA SOBRECARREGADO",IF(G16&lt;1.1,"SUBAPROVEITADO","OK"))</f>
        <v>OK</v>
      </c>
      <c r="H68" s="92" t="str">
        <f aca="false">IF(H16&gt;1.35,"JA SOBRECARREGADO",IF(H16&lt;1.1,"SUBAPROVEITADO","OK"))</f>
        <v>JA SOBRECARREGADO</v>
      </c>
      <c r="I68" s="92" t="str">
        <f aca="false">IF(I16&gt;1.35,"JA SOBRECARREGADO",IF(I16&lt;1.1,"SUBAPROVEITADO","OK"))</f>
        <v>SUBAPROVEITADO</v>
      </c>
      <c r="J68" s="92" t="str">
        <f aca="false">IF(J16&gt;1.35,"JA SOBRECARREGADO",IF(J16&lt;1.1,"SUBAPROVEITADO","OK"))</f>
        <v>OK</v>
      </c>
      <c r="K68" s="92" t="str">
        <f aca="false">IF(K16&gt;1.35,"JA SOBRECARREGADO",IF(K16&lt;1.1,"SUBAPROVEITADO","OK"))</f>
        <v>SUBAPROVEITADO</v>
      </c>
      <c r="L68" s="92"/>
      <c r="M68" s="66" t="s">
        <v>630</v>
      </c>
    </row>
    <row r="70" customFormat="false" ht="15" hidden="false" customHeight="false" outlineLevel="0" collapsed="false">
      <c r="B70" s="7" t="s">
        <v>631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B71" s="21" t="s">
        <v>632</v>
      </c>
      <c r="C71" s="35" t="n">
        <f aca="false">F26-E26</f>
        <v>1000</v>
      </c>
    </row>
    <row r="72" customFormat="false" ht="15" hidden="false" customHeight="false" outlineLevel="0" collapsed="false">
      <c r="B72" s="4" t="s">
        <v>633</v>
      </c>
      <c r="C72" s="29" t="n">
        <f aca="false">IFERROR(F57-E57,0)</f>
        <v>0.163797233414615</v>
      </c>
    </row>
    <row r="73" customFormat="false" ht="15" hidden="false" customHeight="false" outlineLevel="0" collapsed="false">
      <c r="B73" s="4" t="s">
        <v>634</v>
      </c>
      <c r="C73" s="93" t="n">
        <f aca="false">F61-E61</f>
        <v>-1000</v>
      </c>
    </row>
    <row r="74" customFormat="false" ht="15" hidden="false" customHeight="false" outlineLevel="0" collapsed="false">
      <c r="B74" s="5" t="s">
        <v>635</v>
      </c>
    </row>
    <row r="75" customFormat="false" ht="15" hidden="false" customHeight="false" outlineLevel="0" collapsed="false">
      <c r="B75" s="4" t="s">
        <v>636</v>
      </c>
    </row>
    <row r="76" customFormat="false" ht="15" hidden="false" customHeight="false" outlineLevel="0" collapsed="false">
      <c r="B76" s="4" t="s">
        <v>637</v>
      </c>
    </row>
    <row r="77" customFormat="false" ht="15" hidden="false" customHeight="false" outlineLevel="0" collapsed="false">
      <c r="B77" s="4" t="s">
        <v>638</v>
      </c>
    </row>
    <row r="78" customFormat="false" ht="15" hidden="false" customHeight="false" outlineLevel="0" collapsed="false">
      <c r="B78" s="4"/>
    </row>
    <row r="79" customFormat="false" ht="15" hidden="false" customHeight="false" outlineLevel="0" collapsed="false">
      <c r="B79" s="5" t="s">
        <v>639</v>
      </c>
    </row>
    <row r="80" customFormat="false" ht="15" hidden="false" customHeight="false" outlineLevel="0" collapsed="false">
      <c r="B80" s="4" t="s">
        <v>640</v>
      </c>
    </row>
    <row r="81" customFormat="false" ht="15" hidden="false" customHeight="false" outlineLevel="0" collapsed="false">
      <c r="B81" s="4" t="s">
        <v>641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642</v>
      </c>
    </row>
    <row r="2" customFormat="false" ht="15" hidden="false" customHeight="false" outlineLevel="0" collapsed="false">
      <c r="A2" s="2" t="s">
        <v>643</v>
      </c>
    </row>
    <row r="4" customFormat="false" ht="49.5" hidden="false" customHeight="true" outlineLevel="0" collapsed="false">
      <c r="B4" s="17" t="s">
        <v>448</v>
      </c>
      <c r="C4" s="17" t="s">
        <v>644</v>
      </c>
      <c r="D4" s="17" t="s">
        <v>645</v>
      </c>
      <c r="E4" s="17" t="s">
        <v>646</v>
      </c>
      <c r="F4" s="17" t="s">
        <v>647</v>
      </c>
    </row>
    <row r="5" customFormat="false" ht="23.85" hidden="false" customHeight="false" outlineLevel="0" collapsed="false">
      <c r="B5" s="18" t="s">
        <v>648</v>
      </c>
      <c r="C5" s="51" t="s">
        <v>649</v>
      </c>
      <c r="D5" s="51" t="s">
        <v>650</v>
      </c>
      <c r="E5" s="51" t="s">
        <v>651</v>
      </c>
      <c r="F5" s="94" t="s">
        <v>652</v>
      </c>
    </row>
    <row r="6" customFormat="false" ht="23.85" hidden="false" customHeight="false" outlineLevel="0" collapsed="false">
      <c r="B6" s="18" t="s">
        <v>506</v>
      </c>
      <c r="C6" s="51" t="s">
        <v>653</v>
      </c>
      <c r="D6" s="51" t="s">
        <v>653</v>
      </c>
      <c r="E6" s="51" t="s">
        <v>654</v>
      </c>
      <c r="F6" s="94" t="s">
        <v>655</v>
      </c>
    </row>
    <row r="7" customFormat="false" ht="32.8" hidden="false" customHeight="false" outlineLevel="0" collapsed="false">
      <c r="B7" s="18" t="s">
        <v>656</v>
      </c>
      <c r="C7" s="51" t="s">
        <v>657</v>
      </c>
      <c r="D7" s="51" t="s">
        <v>657</v>
      </c>
      <c r="E7" s="51" t="s">
        <v>658</v>
      </c>
      <c r="F7" s="95" t="s">
        <v>659</v>
      </c>
    </row>
    <row r="8" customFormat="false" ht="23.85" hidden="false" customHeight="false" outlineLevel="0" collapsed="false">
      <c r="B8" s="18" t="s">
        <v>660</v>
      </c>
      <c r="C8" s="51" t="s">
        <v>661</v>
      </c>
      <c r="D8" s="51" t="s">
        <v>662</v>
      </c>
      <c r="E8" s="51" t="s">
        <v>663</v>
      </c>
      <c r="F8" s="94" t="s">
        <v>664</v>
      </c>
    </row>
    <row r="9" customFormat="false" ht="15" hidden="false" customHeight="false" outlineLevel="0" collapsed="false">
      <c r="B9" s="18" t="s">
        <v>665</v>
      </c>
      <c r="C9" s="51" t="s">
        <v>666</v>
      </c>
      <c r="D9" s="51" t="s">
        <v>666</v>
      </c>
      <c r="E9" s="51" t="s">
        <v>667</v>
      </c>
      <c r="F9" s="94" t="s">
        <v>668</v>
      </c>
    </row>
    <row r="10" customFormat="false" ht="15" hidden="false" customHeight="false" outlineLevel="0" collapsed="false">
      <c r="B10" s="18" t="s">
        <v>669</v>
      </c>
      <c r="C10" s="51" t="s">
        <v>670</v>
      </c>
      <c r="D10" s="51" t="s">
        <v>670</v>
      </c>
      <c r="E10" s="51" t="s">
        <v>671</v>
      </c>
      <c r="F10" s="94" t="s">
        <v>672</v>
      </c>
    </row>
    <row r="11" customFormat="false" ht="22.35" hidden="false" customHeight="false" outlineLevel="0" collapsed="false">
      <c r="B11" s="18" t="s">
        <v>673</v>
      </c>
      <c r="C11" s="51" t="s">
        <v>674</v>
      </c>
      <c r="D11" s="51" t="s">
        <v>675</v>
      </c>
      <c r="E11" s="51" t="s">
        <v>676</v>
      </c>
      <c r="F11" s="95" t="s">
        <v>677</v>
      </c>
    </row>
    <row r="12" customFormat="false" ht="23.85" hidden="false" customHeight="false" outlineLevel="0" collapsed="false">
      <c r="B12" s="18" t="s">
        <v>678</v>
      </c>
      <c r="C12" s="51" t="s">
        <v>679</v>
      </c>
      <c r="D12" s="51" t="s">
        <v>680</v>
      </c>
      <c r="E12" s="51" t="s">
        <v>681</v>
      </c>
      <c r="F12" s="94" t="s">
        <v>682</v>
      </c>
    </row>
    <row r="13" customFormat="false" ht="22.35" hidden="false" customHeight="false" outlineLevel="0" collapsed="false">
      <c r="B13" s="18" t="s">
        <v>683</v>
      </c>
      <c r="C13" s="51" t="s">
        <v>684</v>
      </c>
      <c r="D13" s="96" t="s">
        <v>685</v>
      </c>
      <c r="E13" s="51" t="s">
        <v>686</v>
      </c>
      <c r="F13" s="95" t="s">
        <v>687</v>
      </c>
    </row>
    <row r="14" customFormat="false" ht="15" hidden="false" customHeight="false" outlineLevel="0" collapsed="false">
      <c r="B14" s="18" t="s">
        <v>688</v>
      </c>
      <c r="C14" s="51" t="s">
        <v>689</v>
      </c>
      <c r="D14" s="51" t="s">
        <v>689</v>
      </c>
      <c r="E14" s="51" t="s">
        <v>690</v>
      </c>
      <c r="F14" s="94" t="s">
        <v>691</v>
      </c>
    </row>
    <row r="15" customFormat="false" ht="23.85" hidden="false" customHeight="false" outlineLevel="0" collapsed="false">
      <c r="B15" s="18" t="s">
        <v>692</v>
      </c>
      <c r="C15" s="96" t="s">
        <v>685</v>
      </c>
      <c r="D15" s="96" t="s">
        <v>685</v>
      </c>
      <c r="E15" s="51" t="s">
        <v>693</v>
      </c>
      <c r="F15" s="95" t="s">
        <v>694</v>
      </c>
    </row>
    <row r="16" customFormat="false" ht="15" hidden="false" customHeight="false" outlineLevel="0" collapsed="false">
      <c r="B16" s="18" t="s">
        <v>695</v>
      </c>
      <c r="C16" s="51" t="s">
        <v>696</v>
      </c>
      <c r="D16" s="51" t="s">
        <v>696</v>
      </c>
      <c r="E16" s="51" t="s">
        <v>697</v>
      </c>
      <c r="F16" s="94" t="s">
        <v>698</v>
      </c>
    </row>
    <row r="17" customFormat="false" ht="15" hidden="false" customHeight="false" outlineLevel="0" collapsed="false">
      <c r="B17" s="18" t="s">
        <v>699</v>
      </c>
      <c r="C17" s="96" t="s">
        <v>685</v>
      </c>
      <c r="D17" s="96" t="s">
        <v>685</v>
      </c>
      <c r="E17" s="51" t="s">
        <v>700</v>
      </c>
      <c r="F17" s="95" t="s">
        <v>701</v>
      </c>
    </row>
    <row r="18" customFormat="false" ht="23.85" hidden="false" customHeight="false" outlineLevel="0" collapsed="false">
      <c r="B18" s="18" t="s">
        <v>702</v>
      </c>
      <c r="C18" s="51" t="s">
        <v>703</v>
      </c>
      <c r="D18" s="96" t="s">
        <v>704</v>
      </c>
      <c r="E18" s="51" t="s">
        <v>705</v>
      </c>
      <c r="F18" s="95" t="s">
        <v>706</v>
      </c>
    </row>
    <row r="19" customFormat="false" ht="19.4" hidden="false" customHeight="false" outlineLevel="0" collapsed="false">
      <c r="B19" s="18" t="s">
        <v>707</v>
      </c>
      <c r="C19" s="51" t="s">
        <v>708</v>
      </c>
      <c r="D19" s="51" t="s">
        <v>709</v>
      </c>
      <c r="E19" s="51" t="s">
        <v>710</v>
      </c>
      <c r="F19" s="94" t="s">
        <v>711</v>
      </c>
    </row>
    <row r="20" customFormat="false" ht="19.4" hidden="false" customHeight="false" outlineLevel="0" collapsed="false">
      <c r="B20" s="18" t="s">
        <v>712</v>
      </c>
      <c r="C20" s="51" t="s">
        <v>713</v>
      </c>
      <c r="D20" s="51" t="s">
        <v>713</v>
      </c>
      <c r="E20" s="51" t="s">
        <v>713</v>
      </c>
      <c r="F20" s="94" t="s">
        <v>714</v>
      </c>
    </row>
    <row r="22" customFormat="false" ht="15" hidden="false" customHeight="false" outlineLevel="0" collapsed="false">
      <c r="B22" s="3" t="s">
        <v>715</v>
      </c>
    </row>
    <row r="23" customFormat="false" ht="15" hidden="false" customHeight="false" outlineLevel="0" collapsed="false">
      <c r="B23" s="17" t="s">
        <v>716</v>
      </c>
      <c r="C23" s="17" t="s">
        <v>717</v>
      </c>
      <c r="D23" s="17" t="s">
        <v>718</v>
      </c>
      <c r="E23" s="17" t="s">
        <v>719</v>
      </c>
    </row>
    <row r="24" customFormat="false" ht="15" hidden="false" customHeight="false" outlineLevel="0" collapsed="false">
      <c r="B24" s="4" t="s">
        <v>720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721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722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723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724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725</v>
      </c>
      <c r="C30" s="44" t="str">
        <f aca="false">COMPARATIVO!C11</f>
        <v>JA Solar bifacial N-type</v>
      </c>
      <c r="D30" s="44" t="str">
        <f aca="false">COMPARATIVO!D11</f>
        <v>Astronergy bifacial N-type</v>
      </c>
      <c r="E30" s="44" t="str">
        <f aca="false">COMPARATIVO!G11</f>
        <v>Maxeon bifacial PERC</v>
      </c>
    </row>
    <row r="31" customFormat="false" ht="15" hidden="false" customHeight="false" outlineLevel="0" collapsed="false">
      <c r="B31" s="21" t="s">
        <v>726</v>
      </c>
      <c r="C31" s="97" t="n">
        <f aca="false">IFERROR(C28/(C30*1000),0)</f>
        <v>0</v>
      </c>
      <c r="D31" s="97" t="n">
        <f aca="false">IFERROR(D28/(D30*1000),0)</f>
        <v>0</v>
      </c>
      <c r="E31" s="97" t="n">
        <f aca="false">IFERROR(E28/(E30*1000),0)</f>
        <v>0</v>
      </c>
    </row>
    <row r="33" customFormat="false" ht="15" hidden="false" customHeight="false" outlineLevel="0" collapsed="false">
      <c r="B33" s="4" t="s">
        <v>727</v>
      </c>
      <c r="C33" s="4" t="s">
        <v>728</v>
      </c>
    </row>
    <row r="34" customFormat="false" ht="15" hidden="false" customHeight="false" outlineLevel="0" collapsed="false">
      <c r="B34" s="21" t="s">
        <v>729</v>
      </c>
      <c r="C34" s="98" t="n">
        <f aca="false">IFERROR(7690/E28,0)</f>
        <v>0.689135408386661</v>
      </c>
      <c r="D34" s="2" t="s">
        <v>730</v>
      </c>
    </row>
    <row r="35" customFormat="false" ht="15" hidden="false" customHeight="false" outlineLevel="0" collapsed="false">
      <c r="B35" s="21" t="s">
        <v>731</v>
      </c>
      <c r="C35" s="23" t="n">
        <f aca="false">C28+790+6900/10*12</f>
        <v>27298.7</v>
      </c>
      <c r="D35" s="2" t="s">
        <v>732</v>
      </c>
    </row>
    <row r="37" customFormat="false" ht="15" hidden="false" customHeight="false" outlineLevel="0" collapsed="false">
      <c r="B37" s="3" t="s">
        <v>733</v>
      </c>
    </row>
    <row r="38" customFormat="false" ht="15" hidden="false" customHeight="false" outlineLevel="0" collapsed="false">
      <c r="B38" s="4" t="s">
        <v>734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735</v>
      </c>
      <c r="C39" s="12" t="n">
        <f aca="false">COMPARATIVO!C28-COMPARATIVO!D28</f>
        <v>0</v>
      </c>
    </row>
    <row r="40" customFormat="false" ht="15" hidden="false" customHeight="false" outlineLevel="0" collapsed="false">
      <c r="B40" s="4" t="s">
        <v>736</v>
      </c>
      <c r="C40" s="15" t="n">
        <f aca="false">C39*ENTRADAS!C18</f>
        <v>0</v>
      </c>
    </row>
    <row r="41" customFormat="false" ht="15" hidden="false" customHeight="false" outlineLevel="0" collapsed="false">
      <c r="B41" s="21" t="s">
        <v>737</v>
      </c>
      <c r="C41" s="99" t="n">
        <f aca="false">IFERROR(C38/C40,0)</f>
        <v>0</v>
      </c>
      <c r="D41" s="2" t="s">
        <v>738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2" min="3" style="0" width="15"/>
    <col collapsed="false" customWidth="true" hidden="false" outlineLevel="0" max="13" min="13" style="0" width="56"/>
  </cols>
  <sheetData>
    <row r="1" customFormat="false" ht="17.35" hidden="false" customHeight="false" outlineLevel="0" collapsed="false">
      <c r="A1" s="1" t="s">
        <v>739</v>
      </c>
    </row>
    <row r="2" customFormat="false" ht="15" hidden="false" customHeight="false" outlineLevel="0" collapsed="false">
      <c r="A2" s="2" t="s">
        <v>740</v>
      </c>
    </row>
    <row r="4" customFormat="false" ht="33.75" hidden="false" customHeight="true" outlineLevel="0" collapsed="false">
      <c r="B4" s="17" t="s">
        <v>741</v>
      </c>
      <c r="C4" s="17" t="s">
        <v>742</v>
      </c>
      <c r="D4" s="17" t="s">
        <v>743</v>
      </c>
      <c r="E4" s="17" t="s">
        <v>744</v>
      </c>
      <c r="F4" s="17" t="s">
        <v>745</v>
      </c>
      <c r="G4" s="17" t="s">
        <v>746</v>
      </c>
      <c r="H4" s="17" t="s">
        <v>747</v>
      </c>
      <c r="I4" s="17" t="s">
        <v>748</v>
      </c>
      <c r="J4" s="17" t="s">
        <v>749</v>
      </c>
      <c r="K4" s="17" t="s">
        <v>750</v>
      </c>
      <c r="L4" s="17" t="s">
        <v>751</v>
      </c>
      <c r="M4" s="17" t="s">
        <v>752</v>
      </c>
    </row>
    <row r="5" customFormat="false" ht="15" hidden="false" customHeight="false" outlineLevel="0" collapsed="false">
      <c r="B5" s="4" t="s">
        <v>753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36" t="n">
        <f aca="false">BYD!$G$35</f>
        <v>8099.42325581395</v>
      </c>
      <c r="I5" s="36" t="n">
        <f aca="false">BYD!$G$35</f>
        <v>8099.42325581395</v>
      </c>
      <c r="J5" s="36" t="n">
        <f aca="false">BYD!$G$35</f>
        <v>8099.42325581395</v>
      </c>
      <c r="K5" s="36" t="n">
        <f aca="false">BYD!$G$35</f>
        <v>8099.42325581395</v>
      </c>
      <c r="L5" s="100"/>
      <c r="M5" s="66" t="s">
        <v>754</v>
      </c>
    </row>
    <row r="6" customFormat="false" ht="15" hidden="false" customHeight="false" outlineLevel="0" collapsed="false">
      <c r="B6" s="4" t="s">
        <v>755</v>
      </c>
      <c r="C6" s="36" t="n">
        <f aca="false">COMPARATIVO!C36</f>
        <v>9330.3051831</v>
      </c>
      <c r="D6" s="36" t="n">
        <f aca="false">COMPARATIVO!D36</f>
        <v>9178.5929037</v>
      </c>
      <c r="E6" s="36" t="n">
        <f aca="false">COMPARATIVO!E36</f>
        <v>7838.467769</v>
      </c>
      <c r="F6" s="36" t="n">
        <f aca="false">COMPARATIVO!F36</f>
        <v>7838.467769</v>
      </c>
      <c r="G6" s="36" t="n">
        <f aca="false">COMPARATIVO!G36</f>
        <v>6763.83912325</v>
      </c>
      <c r="H6" s="36" t="n">
        <f aca="false">COMPARATIVO!H36</f>
        <v>5916.7788966</v>
      </c>
      <c r="I6" s="36" t="n">
        <f aca="false">COMPARATIVO!I36</f>
        <v>8217.7484675</v>
      </c>
      <c r="J6" s="36" t="n">
        <f aca="false">COMPARATIVO!J36</f>
        <v>7459.1870705</v>
      </c>
      <c r="K6" s="36" t="n">
        <f aca="false">COMPARATIVO!K36</f>
        <v>8622.3145459</v>
      </c>
      <c r="L6" s="100"/>
      <c r="M6" s="66" t="s">
        <v>756</v>
      </c>
    </row>
    <row r="7" customFormat="false" ht="15" hidden="false" customHeight="false" outlineLevel="0" collapsed="false">
      <c r="B7" s="4" t="s">
        <v>757</v>
      </c>
      <c r="C7" s="101" t="n">
        <f aca="false">ENTRADAS!$C$18</f>
        <v>1.02147</v>
      </c>
      <c r="D7" s="101" t="n">
        <f aca="false">ENTRADAS!$C$18</f>
        <v>1.02147</v>
      </c>
      <c r="E7" s="101" t="n">
        <f aca="false">ENTRADAS!$C$18</f>
        <v>1.02147</v>
      </c>
      <c r="F7" s="101" t="n">
        <f aca="false">ENTRADAS!$C$18</f>
        <v>1.02147</v>
      </c>
      <c r="G7" s="101" t="n">
        <f aca="false">ENTRADAS!$C$18</f>
        <v>1.02147</v>
      </c>
      <c r="H7" s="101" t="n">
        <f aca="false">ENTRADAS!$C$18</f>
        <v>1.02147</v>
      </c>
      <c r="I7" s="101" t="n">
        <f aca="false">ENTRADAS!$C$18</f>
        <v>1.02147</v>
      </c>
      <c r="J7" s="101" t="n">
        <f aca="false">ENTRADAS!$C$18</f>
        <v>1.02147</v>
      </c>
      <c r="K7" s="101" t="n">
        <f aca="false">ENTRADAS!$C$18</f>
        <v>1.02147</v>
      </c>
      <c r="L7" s="100"/>
      <c r="M7" s="66" t="s">
        <v>758</v>
      </c>
    </row>
    <row r="8" customFormat="false" ht="15" hidden="false" customHeight="false" outlineLevel="0" collapsed="false">
      <c r="B8" s="21" t="s">
        <v>759</v>
      </c>
      <c r="C8" s="102" t="n">
        <f aca="false">C5*C7+ENTRADAS!$C$26*12</f>
        <v>8526.63787311628</v>
      </c>
      <c r="D8" s="102" t="n">
        <f aca="false">D5*D7+ENTRADAS!$C$26*12</f>
        <v>8526.63787311628</v>
      </c>
      <c r="E8" s="102" t="n">
        <f aca="false">E5*E7+ENTRADAS!$C$26*12</f>
        <v>8526.63787311628</v>
      </c>
      <c r="F8" s="102" t="n">
        <f aca="false">F5*F7+ENTRADAS!$C$26*12</f>
        <v>8526.63787311628</v>
      </c>
      <c r="G8" s="102" t="n">
        <f aca="false">G5*G7+ENTRADAS!$C$26*12</f>
        <v>8526.63787311628</v>
      </c>
      <c r="H8" s="102" t="n">
        <f aca="false">H5*H7+ENTRADAS!$C$26*12</f>
        <v>8526.63787311628</v>
      </c>
      <c r="I8" s="102" t="n">
        <f aca="false">I5*I7+ENTRADAS!$C$26*12</f>
        <v>8526.63787311628</v>
      </c>
      <c r="J8" s="102" t="n">
        <f aca="false">J5*J7+ENTRADAS!$C$26*12</f>
        <v>8526.63787311628</v>
      </c>
      <c r="K8" s="102" t="n">
        <f aca="false">K5*K7+ENTRADAS!$C$26*12</f>
        <v>8526.63787311628</v>
      </c>
      <c r="L8" s="100"/>
      <c r="M8" s="66" t="s">
        <v>760</v>
      </c>
    </row>
    <row r="9" customFormat="false" ht="15" hidden="false" customHeight="false" outlineLevel="0" collapsed="false">
      <c r="B9" s="4" t="s">
        <v>761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36" t="n">
        <f aca="false">MIN(H5,H6)*ENTRADAS!$C$37</f>
        <v>1775.03366898</v>
      </c>
      <c r="I9" s="36" t="n">
        <f aca="false">MIN(I5,I6)*ENTRADAS!$C$37</f>
        <v>2429.82697674419</v>
      </c>
      <c r="J9" s="36" t="n">
        <f aca="false">MIN(J5,J6)*ENTRADAS!$C$37</f>
        <v>2237.75612115</v>
      </c>
      <c r="K9" s="36" t="n">
        <f aca="false">MIN(K5,K6)*ENTRADAS!$C$37</f>
        <v>2429.82697674419</v>
      </c>
      <c r="L9" s="100"/>
      <c r="M9" s="66" t="s">
        <v>762</v>
      </c>
    </row>
    <row r="10" customFormat="false" ht="15" hidden="false" customHeight="false" outlineLevel="0" collapsed="false">
      <c r="B10" s="4" t="s">
        <v>763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36" t="n">
        <f aca="false">H6-H9</f>
        <v>4141.74522762</v>
      </c>
      <c r="I10" s="36" t="n">
        <f aca="false">I6-I9</f>
        <v>5787.92149075582</v>
      </c>
      <c r="J10" s="36" t="n">
        <f aca="false">J6-J9</f>
        <v>5221.43094935</v>
      </c>
      <c r="K10" s="36" t="n">
        <f aca="false">K6-K9</f>
        <v>6192.48756915581</v>
      </c>
      <c r="L10" s="100"/>
      <c r="M10" s="66" t="s">
        <v>764</v>
      </c>
    </row>
    <row r="11" customFormat="false" ht="15" hidden="false" customHeight="false" outlineLevel="0" collapsed="false">
      <c r="B11" s="4" t="s">
        <v>765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36" t="n">
        <f aca="false">ENTRADAS!$C$17*12</f>
        <v>600</v>
      </c>
      <c r="I11" s="36" t="n">
        <f aca="false">ENTRADAS!$C$17*12</f>
        <v>600</v>
      </c>
      <c r="J11" s="36" t="n">
        <f aca="false">ENTRADAS!$C$17*12</f>
        <v>600</v>
      </c>
      <c r="K11" s="36" t="n">
        <f aca="false">ENTRADAS!$C$17*12</f>
        <v>600</v>
      </c>
      <c r="L11" s="100"/>
      <c r="M11" s="66" t="s">
        <v>766</v>
      </c>
    </row>
    <row r="12" customFormat="false" ht="15" hidden="false" customHeight="false" outlineLevel="0" collapsed="false">
      <c r="B12" s="4" t="s">
        <v>767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36" t="n">
        <f aca="false">MAX(0,MIN(H10,H5-H9-H11))</f>
        <v>4141.74522762</v>
      </c>
      <c r="I12" s="36" t="n">
        <f aca="false">MAX(0,MIN(I10,I5-I9-I11))</f>
        <v>5069.59627906977</v>
      </c>
      <c r="J12" s="36" t="n">
        <f aca="false">MAX(0,MIN(J10,J5-J9-J11))</f>
        <v>5221.43094935</v>
      </c>
      <c r="K12" s="36" t="n">
        <f aca="false">MAX(0,MIN(K10,K5-K9-K11))</f>
        <v>5069.59627906977</v>
      </c>
      <c r="L12" s="100"/>
      <c r="M12" s="66" t="s">
        <v>768</v>
      </c>
    </row>
    <row r="13" customFormat="false" ht="15" hidden="false" customHeight="false" outlineLevel="0" collapsed="false">
      <c r="B13" s="4" t="s">
        <v>769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36" t="n">
        <f aca="false">H10-H12</f>
        <v>0</v>
      </c>
      <c r="I13" s="36" t="n">
        <f aca="false">I10-I12</f>
        <v>718.325211686048</v>
      </c>
      <c r="J13" s="36" t="n">
        <f aca="false">J10-J12</f>
        <v>0</v>
      </c>
      <c r="K13" s="36" t="n">
        <f aca="false">K10-K12</f>
        <v>1122.89129008605</v>
      </c>
      <c r="L13" s="100"/>
      <c r="M13" s="66" t="s">
        <v>770</v>
      </c>
    </row>
    <row r="14" customFormat="false" ht="15" hidden="false" customHeight="false" outlineLevel="0" collapsed="false">
      <c r="B14" s="4" t="s">
        <v>771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36" t="n">
        <f aca="false">MAX(H11,H5-H9-H12)</f>
        <v>2182.64435921395</v>
      </c>
      <c r="I14" s="36" t="n">
        <f aca="false">MAX(I11,I5-I9-I12)</f>
        <v>600</v>
      </c>
      <c r="J14" s="36" t="n">
        <f aca="false">MAX(J11,J5-J9-J12)</f>
        <v>640.236185313954</v>
      </c>
      <c r="K14" s="36" t="n">
        <f aca="false">MAX(K11,K5-K9-K12)</f>
        <v>600</v>
      </c>
      <c r="L14" s="100"/>
      <c r="M14" s="66" t="s">
        <v>772</v>
      </c>
    </row>
    <row r="15" customFormat="false" ht="15" hidden="false" customHeight="false" outlineLevel="0" collapsed="false">
      <c r="B15" s="4" t="s">
        <v>773</v>
      </c>
      <c r="C15" s="101" t="n">
        <f aca="false">C14*C7</f>
        <v>612.882</v>
      </c>
      <c r="D15" s="101" t="n">
        <f aca="false">D14*D7</f>
        <v>612.882</v>
      </c>
      <c r="E15" s="101" t="n">
        <f aca="false">E14*E7</f>
        <v>612.882</v>
      </c>
      <c r="F15" s="101" t="n">
        <f aca="false">F14*F7</f>
        <v>612.882</v>
      </c>
      <c r="G15" s="101" t="n">
        <f aca="false">G14*G7</f>
        <v>1364.2591238901</v>
      </c>
      <c r="H15" s="101" t="n">
        <f aca="false">H14*H7</f>
        <v>2229.50573360628</v>
      </c>
      <c r="I15" s="101" t="n">
        <f aca="false">I14*I7</f>
        <v>612.882</v>
      </c>
      <c r="J15" s="101" t="n">
        <f aca="false">J14*J7</f>
        <v>653.982056212644</v>
      </c>
      <c r="K15" s="101" t="n">
        <f aca="false">K14*K7</f>
        <v>612.882</v>
      </c>
      <c r="L15" s="100"/>
      <c r="M15" s="66"/>
    </row>
    <row r="16" customFormat="false" ht="15" hidden="false" customHeight="false" outlineLevel="0" collapsed="false">
      <c r="B16" s="4" t="s">
        <v>774</v>
      </c>
      <c r="C16" s="101" t="n">
        <f aca="false">C12*ENTRADAS!$C$25</f>
        <v>1088.51735114121</v>
      </c>
      <c r="D16" s="101" t="n">
        <f aca="false">D12*ENTRADAS!$C$25</f>
        <v>1088.51735114121</v>
      </c>
      <c r="E16" s="101" t="n">
        <f aca="false">E12*ENTRADAS!$C$25</f>
        <v>1105.32665268926</v>
      </c>
      <c r="F16" s="101" t="n">
        <f aca="false">F12*ENTRADAS!$C$25</f>
        <v>1105.32665268926</v>
      </c>
      <c r="G16" s="101" t="n">
        <f aca="false">G12*ENTRADAS!$C$25</f>
        <v>1016.60745520656</v>
      </c>
      <c r="H16" s="101" t="n">
        <f aca="false">H12*ENTRADAS!$C$25</f>
        <v>889.293998199383</v>
      </c>
      <c r="I16" s="101" t="n">
        <f aca="false">I12*ENTRADAS!$C$25</f>
        <v>1088.51735114121</v>
      </c>
      <c r="J16" s="101" t="n">
        <f aca="false">J12*ENTRADAS!$C$25</f>
        <v>1121.1185020035</v>
      </c>
      <c r="K16" s="101" t="n">
        <f aca="false">K12*ENTRADAS!$C$25</f>
        <v>1088.51735114121</v>
      </c>
      <c r="L16" s="100"/>
      <c r="M16" s="66" t="s">
        <v>775</v>
      </c>
    </row>
    <row r="17" customFormat="false" ht="15" hidden="false" customHeight="false" outlineLevel="0" collapsed="false">
      <c r="B17" s="4" t="s">
        <v>776</v>
      </c>
      <c r="C17" s="101" t="n">
        <f aca="false">ENTRADAS!$C$26*12</f>
        <v>253.32</v>
      </c>
      <c r="D17" s="101" t="n">
        <f aca="false">ENTRADAS!$C$26*12</f>
        <v>253.32</v>
      </c>
      <c r="E17" s="101" t="n">
        <f aca="false">ENTRADAS!$C$26*12</f>
        <v>253.32</v>
      </c>
      <c r="F17" s="101" t="n">
        <f aca="false">ENTRADAS!$C$26*12</f>
        <v>253.32</v>
      </c>
      <c r="G17" s="101" t="n">
        <f aca="false">ENTRADAS!$C$26*12</f>
        <v>253.32</v>
      </c>
      <c r="H17" s="101" t="n">
        <f aca="false">ENTRADAS!$C$26*12</f>
        <v>253.32</v>
      </c>
      <c r="I17" s="101" t="n">
        <f aca="false">ENTRADAS!$C$26*12</f>
        <v>253.32</v>
      </c>
      <c r="J17" s="101" t="n">
        <f aca="false">ENTRADAS!$C$26*12</f>
        <v>253.32</v>
      </c>
      <c r="K17" s="101" t="n">
        <f aca="false">ENTRADAS!$C$26*12</f>
        <v>253.32</v>
      </c>
      <c r="L17" s="100"/>
      <c r="M17" s="66" t="s">
        <v>777</v>
      </c>
    </row>
    <row r="18" customFormat="false" ht="15" hidden="false" customHeight="false" outlineLevel="0" collapsed="false">
      <c r="B18" s="21" t="s">
        <v>778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47" t="n">
        <f aca="false">H15+H16+H17</f>
        <v>3372.11973180566</v>
      </c>
      <c r="I18" s="47" t="n">
        <f aca="false">I15+I16+I17</f>
        <v>1954.71935114121</v>
      </c>
      <c r="J18" s="47" t="n">
        <f aca="false">J15+J16+J17</f>
        <v>2028.42055821614</v>
      </c>
      <c r="K18" s="47" t="n">
        <f aca="false">K15+K16+K17</f>
        <v>1954.71935114121</v>
      </c>
      <c r="L18" s="100"/>
      <c r="M18" s="66" t="s">
        <v>779</v>
      </c>
    </row>
    <row r="19" customFormat="false" ht="15" hidden="false" customHeight="false" outlineLevel="0" collapsed="false">
      <c r="B19" s="21" t="s">
        <v>780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47" t="n">
        <f aca="false">H18/12</f>
        <v>281.009977650472</v>
      </c>
      <c r="I19" s="47" t="n">
        <f aca="false">I18/12</f>
        <v>162.893279261767</v>
      </c>
      <c r="J19" s="47" t="n">
        <f aca="false">J18/12</f>
        <v>169.035046518012</v>
      </c>
      <c r="K19" s="47" t="n">
        <f aca="false">K18/12</f>
        <v>162.893279261767</v>
      </c>
      <c r="L19" s="100"/>
      <c r="M19" s="66" t="s">
        <v>781</v>
      </c>
    </row>
    <row r="20" customFormat="false" ht="15" hidden="false" customHeight="false" outlineLevel="0" collapsed="false">
      <c r="B20" s="4" t="s">
        <v>782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37" t="n">
        <f aca="false">IFERROR(1-H18/H8,0)</f>
        <v>0.604519415274143</v>
      </c>
      <c r="I20" s="37" t="n">
        <f aca="false">IFERROR(1-I18/I8,0)</f>
        <v>0.770751452069489</v>
      </c>
      <c r="J20" s="37" t="n">
        <f aca="false">IFERROR(1-J18/J8,0)</f>
        <v>0.762107809854155</v>
      </c>
      <c r="K20" s="37" t="n">
        <f aca="false">IFERROR(1-K18/K8,0)</f>
        <v>0.770751452069489</v>
      </c>
      <c r="L20" s="100"/>
      <c r="M20" s="66"/>
    </row>
    <row r="21" customFormat="false" ht="15" hidden="false" customHeight="false" outlineLevel="0" collapsed="false">
      <c r="B21" s="4" t="s">
        <v>783</v>
      </c>
      <c r="C21" s="101" t="n">
        <f aca="false">C8-C18</f>
        <v>6571.91852197507</v>
      </c>
      <c r="D21" s="101" t="n">
        <f aca="false">D8-D18</f>
        <v>6571.91852197507</v>
      </c>
      <c r="E21" s="101" t="n">
        <f aca="false">E8-E18</f>
        <v>6555.10922042702</v>
      </c>
      <c r="F21" s="101" t="n">
        <f aca="false">F8-F18</f>
        <v>6555.10922042702</v>
      </c>
      <c r="G21" s="101" t="n">
        <f aca="false">G8-G18</f>
        <v>5892.45129401962</v>
      </c>
      <c r="H21" s="101" t="n">
        <f aca="false">H8-H18</f>
        <v>5154.51814131062</v>
      </c>
      <c r="I21" s="101" t="n">
        <f aca="false">I8-I18</f>
        <v>6571.91852197507</v>
      </c>
      <c r="J21" s="101" t="n">
        <f aca="false">J8-J18</f>
        <v>6498.21731490014</v>
      </c>
      <c r="K21" s="101" t="n">
        <f aca="false">K8-K18</f>
        <v>6571.91852197507</v>
      </c>
      <c r="L21" s="100"/>
      <c r="M21" s="66"/>
    </row>
    <row r="22" customFormat="false" ht="15" hidden="false" customHeight="false" outlineLevel="0" collapsed="false">
      <c r="B22" s="4" t="s">
        <v>784</v>
      </c>
      <c r="C22" s="101" t="n">
        <f aca="false">ENTRADAS!$C$35</f>
        <v>300</v>
      </c>
      <c r="D22" s="101" t="n">
        <f aca="false">ENTRADAS!$C$35</f>
        <v>300</v>
      </c>
      <c r="E22" s="101" t="n">
        <f aca="false">ENTRADAS!$C$35</f>
        <v>300</v>
      </c>
      <c r="F22" s="101" t="n">
        <f aca="false">ENTRADAS!$C$35</f>
        <v>300</v>
      </c>
      <c r="G22" s="101" t="n">
        <f aca="false">ENTRADAS!$C$35</f>
        <v>300</v>
      </c>
      <c r="H22" s="101" t="n">
        <f aca="false">ENTRADAS!$C$35</f>
        <v>300</v>
      </c>
      <c r="I22" s="101" t="n">
        <f aca="false">ENTRADAS!$C$35</f>
        <v>300</v>
      </c>
      <c r="J22" s="101" t="n">
        <f aca="false">ENTRADAS!$C$35</f>
        <v>300</v>
      </c>
      <c r="K22" s="101" t="n">
        <f aca="false">ENTRADAS!$C$35</f>
        <v>300</v>
      </c>
      <c r="L22" s="100"/>
      <c r="M22" s="66" t="s">
        <v>785</v>
      </c>
    </row>
    <row r="23" customFormat="false" ht="15" hidden="false" customHeight="false" outlineLevel="0" collapsed="false">
      <c r="B23" s="4" t="s">
        <v>786</v>
      </c>
      <c r="C23" s="101" t="n">
        <f aca="false">ENTRADAS!$C$36</f>
        <v>150</v>
      </c>
      <c r="D23" s="101" t="n">
        <f aca="false">ENTRADAS!$C$36</f>
        <v>150</v>
      </c>
      <c r="E23" s="101" t="n">
        <f aca="false">ENTRADAS!$C$36</f>
        <v>150</v>
      </c>
      <c r="F23" s="101" t="n">
        <f aca="false">ENTRADAS!$C$36</f>
        <v>150</v>
      </c>
      <c r="G23" s="101" t="n">
        <f aca="false">ENTRADAS!$C$36</f>
        <v>150</v>
      </c>
      <c r="H23" s="101" t="n">
        <f aca="false">ENTRADAS!$C$36</f>
        <v>150</v>
      </c>
      <c r="I23" s="101" t="n">
        <f aca="false">ENTRADAS!$C$36</f>
        <v>150</v>
      </c>
      <c r="J23" s="101" t="n">
        <f aca="false">ENTRADAS!$C$36</f>
        <v>150</v>
      </c>
      <c r="K23" s="101" t="n">
        <f aca="false">ENTRADAS!$C$36</f>
        <v>150</v>
      </c>
      <c r="L23" s="100"/>
      <c r="M23" s="66" t="s">
        <v>787</v>
      </c>
    </row>
    <row r="24" customFormat="false" ht="15" hidden="false" customHeight="false" outlineLevel="0" collapsed="false">
      <c r="B24" s="4" t="s">
        <v>788</v>
      </c>
      <c r="C24" s="101" t="n">
        <f aca="false">0</f>
        <v>0</v>
      </c>
      <c r="D24" s="101" t="n">
        <f aca="false">0</f>
        <v>0</v>
      </c>
      <c r="E24" s="101" t="n">
        <f aca="false">0</f>
        <v>0</v>
      </c>
      <c r="F24" s="101" t="n">
        <f aca="false">0</f>
        <v>0</v>
      </c>
      <c r="G24" s="101" t="n">
        <f aca="false">0</f>
        <v>0</v>
      </c>
      <c r="H24" s="101" t="n">
        <f aca="false">0</f>
        <v>0</v>
      </c>
      <c r="I24" s="101" t="n">
        <f aca="false">0</f>
        <v>0</v>
      </c>
      <c r="J24" s="101" t="n">
        <f aca="false">0</f>
        <v>0</v>
      </c>
      <c r="K24" s="101" t="n">
        <f aca="false">0</f>
        <v>0</v>
      </c>
      <c r="L24" s="100"/>
      <c r="M24" s="66" t="s">
        <v>789</v>
      </c>
    </row>
    <row r="25" customFormat="false" ht="15" hidden="false" customHeight="false" outlineLevel="0" collapsed="false">
      <c r="B25" s="4" t="s">
        <v>790</v>
      </c>
      <c r="C25" s="101" t="n">
        <f aca="false">C22+C23</f>
        <v>450</v>
      </c>
      <c r="D25" s="101" t="n">
        <f aca="false">D22+D23</f>
        <v>450</v>
      </c>
      <c r="E25" s="101" t="n">
        <f aca="false">E22+E23</f>
        <v>450</v>
      </c>
      <c r="F25" s="101" t="n">
        <f aca="false">F22+F23</f>
        <v>450</v>
      </c>
      <c r="G25" s="101" t="n">
        <f aca="false">G22+G23</f>
        <v>450</v>
      </c>
      <c r="H25" s="101" t="n">
        <f aca="false">H22+H23</f>
        <v>450</v>
      </c>
      <c r="I25" s="101" t="n">
        <f aca="false">I22+I23</f>
        <v>450</v>
      </c>
      <c r="J25" s="101" t="n">
        <f aca="false">J22+J23</f>
        <v>450</v>
      </c>
      <c r="K25" s="101" t="n">
        <f aca="false">K22+K23</f>
        <v>450</v>
      </c>
      <c r="L25" s="100"/>
      <c r="M25" s="66"/>
    </row>
    <row r="26" customFormat="false" ht="15" hidden="false" customHeight="false" outlineLevel="0" collapsed="false">
      <c r="B26" s="21" t="s">
        <v>791</v>
      </c>
      <c r="C26" s="103" t="n">
        <f aca="false">C21-C25</f>
        <v>6121.91852197507</v>
      </c>
      <c r="D26" s="103" t="n">
        <f aca="false">D21-D25</f>
        <v>6121.91852197507</v>
      </c>
      <c r="E26" s="103" t="n">
        <f aca="false">E21-E25</f>
        <v>6105.10922042702</v>
      </c>
      <c r="F26" s="103" t="n">
        <f aca="false">F21-F25</f>
        <v>6105.10922042702</v>
      </c>
      <c r="G26" s="103" t="n">
        <f aca="false">G21-G25</f>
        <v>5442.45129401962</v>
      </c>
      <c r="H26" s="103" t="n">
        <f aca="false">H21-H25</f>
        <v>4704.51814131062</v>
      </c>
      <c r="I26" s="103" t="n">
        <f aca="false">I21-I25</f>
        <v>6121.91852197507</v>
      </c>
      <c r="J26" s="103" t="n">
        <f aca="false">J21-J25</f>
        <v>6048.21731490014</v>
      </c>
      <c r="K26" s="103" t="n">
        <f aca="false">K21-K25</f>
        <v>6121.91852197507</v>
      </c>
      <c r="L26" s="100"/>
      <c r="M26" s="66" t="s">
        <v>792</v>
      </c>
    </row>
    <row r="28" customFormat="false" ht="15" hidden="false" customHeight="false" outlineLevel="0" collapsed="false">
      <c r="B28" s="7" t="s">
        <v>793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</row>
    <row r="29" customFormat="false" ht="15" hidden="false" customHeight="false" outlineLevel="0" collapsed="false">
      <c r="B29" s="4" t="s">
        <v>794</v>
      </c>
      <c r="C29" s="12" t="n">
        <f aca="false">BYD!$F$33*12</f>
        <v>4576</v>
      </c>
      <c r="M29" s="2" t="s">
        <v>795</v>
      </c>
    </row>
    <row r="30" customFormat="false" ht="15" hidden="false" customHeight="false" outlineLevel="0" collapsed="false">
      <c r="B30" s="4" t="s">
        <v>796</v>
      </c>
      <c r="C30" s="12" t="n">
        <f aca="false">BYD!$F$34*12</f>
        <v>7042.97674418605</v>
      </c>
      <c r="M30" s="2" t="s">
        <v>797</v>
      </c>
    </row>
    <row r="31" customFormat="false" ht="15" hidden="false" customHeight="false" outlineLevel="0" collapsed="false">
      <c r="B31" s="4" t="s">
        <v>798</v>
      </c>
      <c r="C31" s="12" t="n">
        <f aca="false">C30-C29</f>
        <v>2466.97674418605</v>
      </c>
      <c r="M31" s="2" t="s">
        <v>799</v>
      </c>
    </row>
    <row r="32" customFormat="false" ht="15" hidden="false" customHeight="false" outlineLevel="0" collapsed="false">
      <c r="B32" s="4" t="s">
        <v>800</v>
      </c>
      <c r="C32" s="30" t="n">
        <f aca="false">IFERROR(C30/C29-1,0)</f>
        <v>0.539112050739958</v>
      </c>
      <c r="M32" s="2" t="s">
        <v>801</v>
      </c>
    </row>
    <row r="33" customFormat="false" ht="15" hidden="false" customHeight="false" outlineLevel="0" collapsed="false">
      <c r="B33" s="4" t="s">
        <v>802</v>
      </c>
      <c r="C33" s="15" t="n">
        <f aca="false">C29*ENTRADAS!C18+ENTRADAS!C26*12</f>
        <v>4927.56672</v>
      </c>
      <c r="M33" s="2" t="s">
        <v>803</v>
      </c>
    </row>
    <row r="34" customFormat="false" ht="15" hidden="false" customHeight="false" outlineLevel="0" collapsed="false">
      <c r="B34" s="4" t="s">
        <v>804</v>
      </c>
      <c r="C34" s="15" t="n">
        <f aca="false">C30*ENTRADAS!C18+ENTRADAS!C26*12</f>
        <v>7447.50945488372</v>
      </c>
      <c r="M34" s="2" t="s">
        <v>805</v>
      </c>
    </row>
    <row r="35" customFormat="false" ht="15" hidden="false" customHeight="false" outlineLevel="0" collapsed="false">
      <c r="B35" s="4" t="s">
        <v>806</v>
      </c>
      <c r="C35" s="15" t="n">
        <f aca="false">C31*ENTRADAS!C18</f>
        <v>2519.94273488372</v>
      </c>
      <c r="M35" s="2" t="s">
        <v>807</v>
      </c>
    </row>
    <row r="36" customFormat="false" ht="15" hidden="false" customHeight="false" outlineLevel="0" collapsed="false">
      <c r="B36" s="4" t="s">
        <v>808</v>
      </c>
      <c r="C36" s="15" t="n">
        <f aca="false">C31*ENTRADAS!C25</f>
        <v>529.696418232558</v>
      </c>
      <c r="M36" s="2" t="s">
        <v>809</v>
      </c>
    </row>
    <row r="37" customFormat="false" ht="15" hidden="false" customHeight="false" outlineLevel="0" collapsed="false">
      <c r="B37" s="21" t="s">
        <v>810</v>
      </c>
      <c r="C37" s="23" t="n">
        <f aca="false">C35-C36</f>
        <v>1990.24631665116</v>
      </c>
      <c r="M37" s="2" t="s">
        <v>811</v>
      </c>
    </row>
    <row r="38" customFormat="false" ht="15" hidden="false" customHeight="false" outlineLevel="0" collapsed="false">
      <c r="B38" s="4" t="s">
        <v>812</v>
      </c>
      <c r="C38" s="12" t="n">
        <f aca="false">IFERROR(ROUNDUP(C31/GERACAO!I17*1000/615,0),0)</f>
        <v>4</v>
      </c>
      <c r="M38" s="2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0" min="4" style="0" width="14"/>
  </cols>
  <sheetData>
    <row r="1" customFormat="false" ht="17.35" hidden="false" customHeight="false" outlineLevel="0" collapsed="false">
      <c r="A1" s="1" t="s">
        <v>814</v>
      </c>
    </row>
    <row r="2" customFormat="false" ht="15" hidden="false" customHeight="false" outlineLevel="0" collapsed="false">
      <c r="A2" s="2" t="s">
        <v>815</v>
      </c>
    </row>
    <row r="4" customFormat="false" ht="45.75" hidden="false" customHeight="true" outlineLevel="0" collapsed="false">
      <c r="B4" s="17" t="s">
        <v>816</v>
      </c>
      <c r="C4" s="17" t="s">
        <v>817</v>
      </c>
      <c r="D4" s="17" t="s">
        <v>818</v>
      </c>
      <c r="E4" s="17" t="s">
        <v>819</v>
      </c>
      <c r="F4" s="17" t="s">
        <v>820</v>
      </c>
      <c r="G4" s="17" t="s">
        <v>821</v>
      </c>
      <c r="H4" s="17" t="s">
        <v>822</v>
      </c>
      <c r="I4" s="17" t="s">
        <v>823</v>
      </c>
      <c r="J4" s="17" t="s">
        <v>824</v>
      </c>
      <c r="K4" s="17" t="s">
        <v>825</v>
      </c>
      <c r="L4" s="17" t="s">
        <v>826</v>
      </c>
      <c r="M4" s="17" t="s">
        <v>827</v>
      </c>
      <c r="N4" s="17" t="s">
        <v>828</v>
      </c>
      <c r="O4" s="17" t="s">
        <v>829</v>
      </c>
      <c r="P4" s="17" t="s">
        <v>830</v>
      </c>
      <c r="Q4" s="17" t="s">
        <v>831</v>
      </c>
      <c r="R4" s="17" t="s">
        <v>832</v>
      </c>
      <c r="S4" s="17" t="s">
        <v>833</v>
      </c>
      <c r="T4" s="17" t="s">
        <v>834</v>
      </c>
      <c r="U4" s="17" t="s">
        <v>835</v>
      </c>
      <c r="V4" s="17" t="s">
        <v>836</v>
      </c>
      <c r="W4" s="17" t="s">
        <v>837</v>
      </c>
      <c r="X4" s="17" t="s">
        <v>838</v>
      </c>
      <c r="Y4" s="17" t="s">
        <v>839</v>
      </c>
      <c r="Z4" s="17" t="s">
        <v>840</v>
      </c>
      <c r="AA4" s="17" t="s">
        <v>841</v>
      </c>
      <c r="AB4" s="17" t="s">
        <v>842</v>
      </c>
      <c r="AC4" s="17" t="s">
        <v>843</v>
      </c>
      <c r="AD4" s="17" t="s">
        <v>844</v>
      </c>
    </row>
    <row r="6" customFormat="false" ht="15" hidden="false" customHeight="false" outlineLevel="0" collapsed="false">
      <c r="B6" s="104" t="n">
        <v>1</v>
      </c>
      <c r="C6" s="37" t="n">
        <f aca="false">(1-ENTRADAS!$C$33)*(1-ENTRADAS!$C$34)^(1-1)</f>
        <v>0.98</v>
      </c>
      <c r="D6" s="105" t="n">
        <f aca="false">ECONOMIA!C$26*C6/$C$6*(1+ENTRADAS!$C$27)^(1-1)</f>
        <v>6121.91852197507</v>
      </c>
      <c r="E6" s="105" t="n">
        <f aca="false">D6</f>
        <v>6121.91852197507</v>
      </c>
      <c r="F6" s="105" t="n">
        <f aca="false">E6-COMPARATIVO!C$31</f>
        <v>-23676.7814780249</v>
      </c>
      <c r="G6" s="105" t="n">
        <f aca="false">ECONOMIA!D$26*C6/$C$6*(1+ENTRADAS!$C$27)^(1-1)</f>
        <v>6121.91852197507</v>
      </c>
      <c r="H6" s="105" t="n">
        <f aca="false">G6</f>
        <v>6121.91852197507</v>
      </c>
      <c r="I6" s="105" t="n">
        <f aca="false">H6-COMPARATIVO!D$31</f>
        <v>-22755.9814780249</v>
      </c>
      <c r="J6" s="105" t="n">
        <f aca="false">ECONOMIA!E$26*C6/$C$6*(1+ENTRADAS!$C$27)^(1-1)</f>
        <v>6105.10922042702</v>
      </c>
      <c r="K6" s="105" t="n">
        <f aca="false">J6</f>
        <v>6105.10922042702</v>
      </c>
      <c r="L6" s="105" t="n">
        <f aca="false">K6-COMPARATIVO!E$31</f>
        <v>-12415.230779573</v>
      </c>
      <c r="M6" s="105" t="n">
        <f aca="false">ECONOMIA!F$26*C6/$C$6*(1+ENTRADAS!$C$27)^(1-1)</f>
        <v>6105.10922042702</v>
      </c>
      <c r="N6" s="105" t="n">
        <f aca="false">M6</f>
        <v>6105.10922042702</v>
      </c>
      <c r="O6" s="105" t="n">
        <f aca="false">N6-COMPARATIVO!F$31</f>
        <v>-13415.230779573</v>
      </c>
      <c r="P6" s="105" t="n">
        <f aca="false">ECONOMIA!G$26*C6/$C$6*(1+ENTRADAS!$C$27)^(1-1)</f>
        <v>5442.45129401962</v>
      </c>
      <c r="Q6" s="105" t="n">
        <f aca="false">P6</f>
        <v>5442.45129401962</v>
      </c>
      <c r="R6" s="105" t="n">
        <f aca="false">Q6-COMPARATIVO!G$31</f>
        <v>-15906.4587059804</v>
      </c>
      <c r="S6" s="105" t="n">
        <f aca="false">ECONOMIA!H$26*C6/$C$6*(1+ENTRADAS!$C$27)^(1-1)</f>
        <v>4704.51814131062</v>
      </c>
      <c r="T6" s="105" t="n">
        <f aca="false">S6</f>
        <v>4704.51814131062</v>
      </c>
      <c r="U6" s="105" t="n">
        <f aca="false">T6-COMPARATIVO!H$31</f>
        <v>-10183.1218586894</v>
      </c>
      <c r="V6" s="105" t="n">
        <f aca="false">ECONOMIA!I$26*C6/$C$6*(1+ENTRADAS!$C$27)^(1-1)</f>
        <v>6121.91852197507</v>
      </c>
      <c r="W6" s="105" t="n">
        <f aca="false">V6</f>
        <v>6121.91852197507</v>
      </c>
      <c r="X6" s="105" t="n">
        <f aca="false">W6-COMPARATIVO!I$31</f>
        <v>-14958.6214780249</v>
      </c>
      <c r="Y6" s="105" t="n">
        <f aca="false">ECONOMIA!J$26*C6/$C$6*(1+ENTRADAS!$C$27)^(1-1)</f>
        <v>6048.21731490014</v>
      </c>
      <c r="Z6" s="105" t="n">
        <f aca="false">Y6</f>
        <v>6048.21731490014</v>
      </c>
      <c r="AA6" s="105" t="n">
        <f aca="false">Z6-COMPARATIVO!J$31</f>
        <v>-15184.7826850999</v>
      </c>
      <c r="AB6" s="105" t="n">
        <f aca="false">ECONOMIA!K$26*C6/$C$6*(1+ENTRADAS!$C$27)^(1-1)</f>
        <v>6121.91852197507</v>
      </c>
      <c r="AC6" s="105" t="n">
        <f aca="false">AB6</f>
        <v>6121.91852197507</v>
      </c>
      <c r="AD6" s="105" t="n">
        <f aca="false">AC6-COMPARATIVO!K$31</f>
        <v>-13268.0814780249</v>
      </c>
    </row>
    <row r="7" customFormat="false" ht="15" hidden="false" customHeight="false" outlineLevel="0" collapsed="false">
      <c r="B7" s="104" t="n">
        <v>2</v>
      </c>
      <c r="C7" s="37" t="n">
        <f aca="false">(1-ENTRADAS!$C$33)*(1-ENTRADAS!$C$34)^(2-1)</f>
        <v>0.97559</v>
      </c>
      <c r="D7" s="105" t="n">
        <f aca="false">ECONOMIA!C$26*C7/$C$6*(1+ENTRADAS!$C$27)^(2-1)</f>
        <v>6520.97578083002</v>
      </c>
      <c r="E7" s="105" t="n">
        <f aca="false">E6+D7</f>
        <v>12642.8943028051</v>
      </c>
      <c r="F7" s="105" t="n">
        <f aca="false">E7-COMPARATIVO!C$31</f>
        <v>-17155.8056971949</v>
      </c>
      <c r="G7" s="105" t="n">
        <f aca="false">ECONOMIA!D$26*C7/$C$6*(1+ENTRADAS!$C$27)^(2-1)</f>
        <v>6520.97578083002</v>
      </c>
      <c r="H7" s="105" t="n">
        <f aca="false">H6+G7</f>
        <v>12642.8943028051</v>
      </c>
      <c r="I7" s="105" t="n">
        <f aca="false">H7-COMPARATIVO!D$31</f>
        <v>-16235.0056971949</v>
      </c>
      <c r="J7" s="105" t="n">
        <f aca="false">ECONOMIA!E$26*C7/$C$6*(1+ENTRADAS!$C$27)^(2-1)</f>
        <v>6503.07076496056</v>
      </c>
      <c r="K7" s="105" t="n">
        <f aca="false">K6+J7</f>
        <v>12608.1799853876</v>
      </c>
      <c r="L7" s="105" t="n">
        <f aca="false">K7-COMPARATIVO!E$31</f>
        <v>-5912.16001461242</v>
      </c>
      <c r="M7" s="105" t="n">
        <f aca="false">ECONOMIA!F$26*C7/$C$6*(1+ENTRADAS!$C$27)^(2-1)</f>
        <v>6503.07076496056</v>
      </c>
      <c r="N7" s="105" t="n">
        <f aca="false">N6+M7</f>
        <v>12608.1799853876</v>
      </c>
      <c r="O7" s="105" t="n">
        <f aca="false">N7-COMPARATIVO!F$31</f>
        <v>-6912.16001461242</v>
      </c>
      <c r="P7" s="105" t="n">
        <f aca="false">ECONOMIA!G$26*C7/$C$6*(1+ENTRADAS!$C$27)^(2-1)</f>
        <v>5797.21748162029</v>
      </c>
      <c r="Q7" s="105" t="n">
        <f aca="false">Q6+P7</f>
        <v>11239.6687756399</v>
      </c>
      <c r="R7" s="105" t="n">
        <f aca="false">Q7-COMPARATIVO!G$31</f>
        <v>-10109.2412243601</v>
      </c>
      <c r="S7" s="105" t="n">
        <f aca="false">ECONOMIA!H$26*C7/$C$6*(1+ENTRADAS!$C$27)^(2-1)</f>
        <v>5011.18215635195</v>
      </c>
      <c r="T7" s="105" t="n">
        <f aca="false">T6+S7</f>
        <v>9715.70029766257</v>
      </c>
      <c r="U7" s="105" t="n">
        <f aca="false">T7-COMPARATIVO!H$31</f>
        <v>-5171.93970233743</v>
      </c>
      <c r="V7" s="105" t="n">
        <f aca="false">ECONOMIA!I$26*C7/$C$6*(1+ENTRADAS!$C$27)^(2-1)</f>
        <v>6520.97578083002</v>
      </c>
      <c r="W7" s="105" t="n">
        <f aca="false">W6+V7</f>
        <v>12642.8943028051</v>
      </c>
      <c r="X7" s="105" t="n">
        <f aca="false">W7-COMPARATIVO!I$31</f>
        <v>-8437.64569719492</v>
      </c>
      <c r="Y7" s="105" t="n">
        <f aca="false">ECONOMIA!J$26*C7/$C$6*(1+ENTRADAS!$C$27)^(2-1)</f>
        <v>6442.47036057191</v>
      </c>
      <c r="Z7" s="105" t="n">
        <f aca="false">Z6+Y7</f>
        <v>12490.687675472</v>
      </c>
      <c r="AA7" s="105" t="n">
        <f aca="false">Z7-COMPARATIVO!J$31</f>
        <v>-8742.31232452795</v>
      </c>
      <c r="AB7" s="105" t="n">
        <f aca="false">ECONOMIA!K$26*C7/$C$6*(1+ENTRADAS!$C$27)^(2-1)</f>
        <v>6520.97578083002</v>
      </c>
      <c r="AC7" s="105" t="n">
        <f aca="false">AC6+AB7</f>
        <v>12642.8943028051</v>
      </c>
      <c r="AD7" s="105" t="n">
        <f aca="false">AC7-COMPARATIVO!K$31</f>
        <v>-6747.10569719492</v>
      </c>
    </row>
    <row r="8" customFormat="false" ht="15" hidden="false" customHeight="false" outlineLevel="0" collapsed="false">
      <c r="B8" s="104" t="n">
        <v>3</v>
      </c>
      <c r="C8" s="37" t="n">
        <f aca="false">(1-ENTRADAS!$C$33)*(1-ENTRADAS!$C$34)^(3-1)</f>
        <v>0.971199845</v>
      </c>
      <c r="D8" s="105" t="n">
        <f aca="false">ECONOMIA!C$26*C8/$C$6*(1+ENTRADAS!$C$27)^(3-1)</f>
        <v>6946.04558710342</v>
      </c>
      <c r="E8" s="105" t="n">
        <f aca="false">E7+D8</f>
        <v>19588.9398899085</v>
      </c>
      <c r="F8" s="105" t="n">
        <f aca="false">E8-COMPARATIVO!C$31</f>
        <v>-10209.7601100915</v>
      </c>
      <c r="G8" s="105" t="n">
        <f aca="false">ECONOMIA!D$26*C8/$C$6*(1+ENTRADAS!$C$27)^(3-1)</f>
        <v>6946.04558710342</v>
      </c>
      <c r="H8" s="105" t="n">
        <f aca="false">H7+G8</f>
        <v>19588.9398899085</v>
      </c>
      <c r="I8" s="105" t="n">
        <f aca="false">H8-COMPARATIVO!D$31</f>
        <v>-9288.9601100915</v>
      </c>
      <c r="J8" s="105" t="n">
        <f aca="false">ECONOMIA!E$26*C8/$C$6*(1+ENTRADAS!$C$27)^(3-1)</f>
        <v>6926.97343277451</v>
      </c>
      <c r="K8" s="105" t="n">
        <f aca="false">K7+J8</f>
        <v>19535.1534181621</v>
      </c>
      <c r="L8" s="105" t="n">
        <f aca="false">K8-COMPARATIVO!E$31</f>
        <v>1014.8134181621</v>
      </c>
      <c r="M8" s="105" t="n">
        <f aca="false">ECONOMIA!F$26*C8/$C$6*(1+ENTRADAS!$C$27)^(3-1)</f>
        <v>6926.97343277451</v>
      </c>
      <c r="N8" s="105" t="n">
        <f aca="false">N7+M8</f>
        <v>19535.1534181621</v>
      </c>
      <c r="O8" s="105" t="n">
        <f aca="false">N8-COMPARATIVO!F$31</f>
        <v>14.8134181620953</v>
      </c>
      <c r="P8" s="105" t="n">
        <f aca="false">ECONOMIA!G$26*C8/$C$6*(1+ENTRADAS!$C$27)^(3-1)</f>
        <v>6175.10910315971</v>
      </c>
      <c r="Q8" s="105" t="n">
        <f aca="false">Q7+P8</f>
        <v>17414.7778787996</v>
      </c>
      <c r="R8" s="105" t="n">
        <f aca="false">Q8-COMPARATIVO!G$31</f>
        <v>-3934.13212120039</v>
      </c>
      <c r="S8" s="105" t="n">
        <f aca="false">ECONOMIA!H$26*C8/$C$6*(1+ENTRADAS!$C$27)^(3-1)</f>
        <v>5337.83606521376</v>
      </c>
      <c r="T8" s="105" t="n">
        <f aca="false">T7+S8</f>
        <v>15053.5363628763</v>
      </c>
      <c r="U8" s="105" t="n">
        <f aca="false">T8-COMPARATIVO!H$31</f>
        <v>165.89636287633</v>
      </c>
      <c r="V8" s="105" t="n">
        <f aca="false">ECONOMIA!I$26*C8/$C$6*(1+ENTRADAS!$C$27)^(3-1)</f>
        <v>6946.04558710342</v>
      </c>
      <c r="W8" s="105" t="n">
        <f aca="false">W7+V8</f>
        <v>19588.9398899085</v>
      </c>
      <c r="X8" s="105" t="n">
        <f aca="false">W8-COMPARATIVO!I$31</f>
        <v>-1491.60011009149</v>
      </c>
      <c r="Y8" s="105" t="n">
        <f aca="false">ECONOMIA!J$26*C8/$C$6*(1+ENTRADAS!$C$27)^(3-1)</f>
        <v>6862.42279102579</v>
      </c>
      <c r="Z8" s="105" t="n">
        <f aca="false">Z7+Y8</f>
        <v>19353.1104664978</v>
      </c>
      <c r="AA8" s="105" t="n">
        <f aca="false">Z8-COMPARATIVO!J$31</f>
        <v>-1879.88953350216</v>
      </c>
      <c r="AB8" s="105" t="n">
        <f aca="false">ECONOMIA!K$26*C8/$C$6*(1+ENTRADAS!$C$27)^(3-1)</f>
        <v>6946.04558710342</v>
      </c>
      <c r="AC8" s="105" t="n">
        <f aca="false">AC7+AB8</f>
        <v>19588.9398899085</v>
      </c>
      <c r="AD8" s="105" t="n">
        <f aca="false">AC8-COMPARATIVO!K$31</f>
        <v>198.939889908506</v>
      </c>
    </row>
    <row r="9" customFormat="false" ht="15" hidden="false" customHeight="false" outlineLevel="0" collapsed="false">
      <c r="B9" s="104" t="n">
        <v>4</v>
      </c>
      <c r="C9" s="37" t="n">
        <f aca="false">(1-ENTRADAS!$C$33)*(1-ENTRADAS!$C$34)^(4-1)</f>
        <v>0.9668294456975</v>
      </c>
      <c r="D9" s="105" t="n">
        <f aca="false">ECONOMIA!C$26*C9/$C$6*(1+ENTRADAS!$C$27)^(4-1)</f>
        <v>7398.82356869876</v>
      </c>
      <c r="E9" s="105" t="n">
        <f aca="false">E8+D9</f>
        <v>26987.7634586073</v>
      </c>
      <c r="F9" s="105" t="n">
        <f aca="false">E9-COMPARATIVO!C$31</f>
        <v>-2810.93654139274</v>
      </c>
      <c r="G9" s="105" t="n">
        <f aca="false">ECONOMIA!D$26*C9/$C$6*(1+ENTRADAS!$C$27)^(4-1)</f>
        <v>7398.82356869876</v>
      </c>
      <c r="H9" s="105" t="n">
        <f aca="false">H8+G9</f>
        <v>26987.7634586073</v>
      </c>
      <c r="I9" s="105" t="n">
        <f aca="false">H9-COMPARATIVO!D$31</f>
        <v>-1890.13654139274</v>
      </c>
      <c r="J9" s="105" t="n">
        <f aca="false">ECONOMIA!E$26*C9/$C$6*(1+ENTRADAS!$C$27)^(4-1)</f>
        <v>7378.50819598992</v>
      </c>
      <c r="K9" s="105" t="n">
        <f aca="false">K8+J9</f>
        <v>26913.661614152</v>
      </c>
      <c r="L9" s="105" t="n">
        <f aca="false">K9-COMPARATIVO!E$31</f>
        <v>8393.32161415201</v>
      </c>
      <c r="M9" s="105" t="n">
        <f aca="false">ECONOMIA!F$26*C9/$C$6*(1+ENTRADAS!$C$27)^(4-1)</f>
        <v>7378.50819598992</v>
      </c>
      <c r="N9" s="105" t="n">
        <f aca="false">N8+M9</f>
        <v>26913.661614152</v>
      </c>
      <c r="O9" s="105" t="n">
        <f aca="false">N9-COMPARATIVO!F$31</f>
        <v>7393.32161415201</v>
      </c>
      <c r="P9" s="105" t="n">
        <f aca="false">ECONOMIA!G$26*C9/$C$6*(1+ENTRADAS!$C$27)^(4-1)</f>
        <v>6577.63359004917</v>
      </c>
      <c r="Q9" s="105" t="n">
        <f aca="false">Q8+P9</f>
        <v>23992.4114688488</v>
      </c>
      <c r="R9" s="105" t="n">
        <f aca="false">Q9-COMPARATIVO!G$31</f>
        <v>2643.50146884879</v>
      </c>
      <c r="S9" s="105" t="n">
        <f aca="false">ECONOMIA!H$26*C9/$C$6*(1+ENTRADAS!$C$27)^(4-1)</f>
        <v>5685.78290912472</v>
      </c>
      <c r="T9" s="105" t="n">
        <f aca="false">T8+S9</f>
        <v>20739.319272001</v>
      </c>
      <c r="U9" s="105" t="n">
        <f aca="false">T9-COMPARATIVO!H$31</f>
        <v>5851.67927200105</v>
      </c>
      <c r="V9" s="105" t="n">
        <f aca="false">ECONOMIA!I$26*C9/$C$6*(1+ENTRADAS!$C$27)^(4-1)</f>
        <v>7398.82356869876</v>
      </c>
      <c r="W9" s="105" t="n">
        <f aca="false">W8+V9</f>
        <v>26987.7634586073</v>
      </c>
      <c r="X9" s="105" t="n">
        <f aca="false">W9-COMPARATIVO!I$31</f>
        <v>5907.22345860726</v>
      </c>
      <c r="Y9" s="105" t="n">
        <f aca="false">ECONOMIA!J$26*C9/$C$6*(1+ENTRADAS!$C$27)^(4-1)</f>
        <v>7309.7498206588</v>
      </c>
      <c r="Z9" s="105" t="n">
        <f aca="false">Z8+Y9</f>
        <v>26662.8602871566</v>
      </c>
      <c r="AA9" s="105" t="n">
        <f aca="false">Z9-COMPARATIVO!J$31</f>
        <v>5429.86028715664</v>
      </c>
      <c r="AB9" s="105" t="n">
        <f aca="false">ECONOMIA!K$26*C9/$C$6*(1+ENTRADAS!$C$27)^(4-1)</f>
        <v>7398.82356869876</v>
      </c>
      <c r="AC9" s="105" t="n">
        <f aca="false">AC8+AB9</f>
        <v>26987.7634586073</v>
      </c>
      <c r="AD9" s="105" t="n">
        <f aca="false">AC9-COMPARATIVO!K$31</f>
        <v>7597.76345860726</v>
      </c>
    </row>
    <row r="10" customFormat="false" ht="15" hidden="false" customHeight="false" outlineLevel="0" collapsed="false">
      <c r="B10" s="106" t="n">
        <v>5</v>
      </c>
      <c r="C10" s="107" t="n">
        <f aca="false">(1-ENTRADAS!$C$33)*(1-ENTRADAS!$C$34)^(5-1)</f>
        <v>0.962478713191861</v>
      </c>
      <c r="D10" s="108" t="n">
        <f aca="false">ECONOMIA!C$26*C10/$C$6*(1+ENTRADAS!$C$27)^(5-1)</f>
        <v>7881.11588302439</v>
      </c>
      <c r="E10" s="108" t="n">
        <f aca="false">E9+D10</f>
        <v>34868.8793416317</v>
      </c>
      <c r="F10" s="108" t="n">
        <f aca="false">E10-COMPARATIVO!C$31</f>
        <v>5070.17934163165</v>
      </c>
      <c r="G10" s="108" t="n">
        <f aca="false">ECONOMIA!D$26*C10/$C$6*(1+ENTRADAS!$C$27)^(5-1)</f>
        <v>7881.11588302439</v>
      </c>
      <c r="H10" s="108" t="n">
        <f aca="false">H9+G10</f>
        <v>34868.8793416317</v>
      </c>
      <c r="I10" s="108" t="n">
        <f aca="false">H10-COMPARATIVO!D$31</f>
        <v>5990.97934163165</v>
      </c>
      <c r="J10" s="108" t="n">
        <f aca="false">ECONOMIA!E$26*C10/$C$6*(1+ENTRADAS!$C$27)^(5-1)</f>
        <v>7859.47625274552</v>
      </c>
      <c r="K10" s="108" t="n">
        <f aca="false">K9+J10</f>
        <v>34773.1378668975</v>
      </c>
      <c r="L10" s="108" t="n">
        <f aca="false">K10-COMPARATIVO!E$31</f>
        <v>16252.7978668975</v>
      </c>
      <c r="M10" s="108" t="n">
        <f aca="false">ECONOMIA!F$26*C10/$C$6*(1+ENTRADAS!$C$27)^(5-1)</f>
        <v>7859.47625274552</v>
      </c>
      <c r="N10" s="108" t="n">
        <f aca="false">N9+M10</f>
        <v>34773.1378668975</v>
      </c>
      <c r="O10" s="108" t="n">
        <f aca="false">N10-COMPARATIVO!F$31</f>
        <v>15252.7978668975</v>
      </c>
      <c r="P10" s="108" t="n">
        <f aca="false">ECONOMIA!G$26*C10/$C$6*(1+ENTRADAS!$C$27)^(5-1)</f>
        <v>7006.39663561653</v>
      </c>
      <c r="Q10" s="108" t="n">
        <f aca="false">Q9+P10</f>
        <v>30998.8081044653</v>
      </c>
      <c r="R10" s="108" t="n">
        <f aca="false">Q10-COMPARATIVO!G$31</f>
        <v>9649.89810446532</v>
      </c>
      <c r="S10" s="108" t="n">
        <f aca="false">ECONOMIA!H$26*C10/$C$6*(1+ENTRADAS!$C$27)^(5-1)</f>
        <v>6056.41066805601</v>
      </c>
      <c r="T10" s="108" t="n">
        <f aca="false">T9+S10</f>
        <v>26795.7299400571</v>
      </c>
      <c r="U10" s="108" t="n">
        <f aca="false">T10-COMPARATIVO!H$31</f>
        <v>11908.0899400571</v>
      </c>
      <c r="V10" s="108" t="n">
        <f aca="false">ECONOMIA!I$26*C10/$C$6*(1+ENTRADAS!$C$27)^(5-1)</f>
        <v>7881.11588302439</v>
      </c>
      <c r="W10" s="108" t="n">
        <f aca="false">W9+V10</f>
        <v>34868.8793416317</v>
      </c>
      <c r="X10" s="108" t="n">
        <f aca="false">W10-COMPARATIVO!I$31</f>
        <v>13788.3393416317</v>
      </c>
      <c r="Y10" s="108" t="n">
        <f aca="false">ECONOMIA!J$26*C10/$C$6*(1+ENTRADAS!$C$27)^(5-1)</f>
        <v>7786.23586271845</v>
      </c>
      <c r="Z10" s="108" t="n">
        <f aca="false">Z9+Y10</f>
        <v>34449.0961498751</v>
      </c>
      <c r="AA10" s="108" t="n">
        <f aca="false">Z10-COMPARATIVO!J$31</f>
        <v>13216.0961498751</v>
      </c>
      <c r="AB10" s="108" t="n">
        <f aca="false">ECONOMIA!K$26*C10/$C$6*(1+ENTRADAS!$C$27)^(5-1)</f>
        <v>7881.11588302439</v>
      </c>
      <c r="AC10" s="108" t="n">
        <f aca="false">AC9+AB10</f>
        <v>34868.8793416317</v>
      </c>
      <c r="AD10" s="108" t="n">
        <f aca="false">AC10-COMPARATIVO!K$31</f>
        <v>15478.8793416317</v>
      </c>
    </row>
    <row r="11" customFormat="false" ht="15" hidden="false" customHeight="false" outlineLevel="0" collapsed="false">
      <c r="B11" s="104" t="n">
        <v>6</v>
      </c>
      <c r="C11" s="37" t="n">
        <f aca="false">(1-ENTRADAS!$C$33)*(1-ENTRADAS!$C$34)^(6-1)</f>
        <v>0.958147558982498</v>
      </c>
      <c r="D11" s="105" t="n">
        <f aca="false">ECONOMIA!C$26*C11/$C$6*(1+ENTRADAS!$C$27)^(6-1)</f>
        <v>8394.84642185933</v>
      </c>
      <c r="E11" s="105" t="n">
        <f aca="false">E10+D11</f>
        <v>43263.725763491</v>
      </c>
      <c r="F11" s="105" t="n">
        <f aca="false">E11-COMPARATIVO!C$31</f>
        <v>13465.025763491</v>
      </c>
      <c r="G11" s="105" t="n">
        <f aca="false">ECONOMIA!D$26*C11/$C$6*(1+ENTRADAS!$C$27)^(6-1)</f>
        <v>8394.84642185933</v>
      </c>
      <c r="H11" s="105" t="n">
        <f aca="false">H10+G11</f>
        <v>43263.725763491</v>
      </c>
      <c r="I11" s="105" t="n">
        <f aca="false">H11-COMPARATIVO!D$31</f>
        <v>14385.825763491</v>
      </c>
      <c r="J11" s="105" t="n">
        <f aca="false">ECONOMIA!E$26*C11/$C$6*(1+ENTRADAS!$C$27)^(6-1)</f>
        <v>8371.79621228074</v>
      </c>
      <c r="K11" s="105" t="n">
        <f aca="false">K10+J11</f>
        <v>43144.9340791783</v>
      </c>
      <c r="L11" s="105" t="n">
        <f aca="false">K11-COMPARATIVO!E$31</f>
        <v>24624.5940791783</v>
      </c>
      <c r="M11" s="105" t="n">
        <f aca="false">ECONOMIA!F$26*C11/$C$6*(1+ENTRADAS!$C$27)^(6-1)</f>
        <v>8371.79621228074</v>
      </c>
      <c r="N11" s="105" t="n">
        <f aca="false">N10+M11</f>
        <v>43144.9340791783</v>
      </c>
      <c r="O11" s="105" t="n">
        <f aca="false">N11-COMPARATIVO!F$31</f>
        <v>23624.5940791783</v>
      </c>
      <c r="P11" s="105" t="n">
        <f aca="false">ECONOMIA!G$26*C11/$C$6*(1+ENTRADAS!$C$27)^(6-1)</f>
        <v>7463.10860030919</v>
      </c>
      <c r="Q11" s="105" t="n">
        <f aca="false">Q10+P11</f>
        <v>38461.9167047745</v>
      </c>
      <c r="R11" s="105" t="n">
        <f aca="false">Q11-COMPARATIVO!G$31</f>
        <v>17113.0067047745</v>
      </c>
      <c r="S11" s="105" t="n">
        <f aca="false">ECONOMIA!H$26*C11/$C$6*(1+ENTRADAS!$C$27)^(6-1)</f>
        <v>6451.19779745324</v>
      </c>
      <c r="T11" s="105" t="n">
        <f aca="false">T10+S11</f>
        <v>33246.9277375103</v>
      </c>
      <c r="U11" s="105" t="n">
        <f aca="false">T11-COMPARATIVO!H$31</f>
        <v>18359.2877375103</v>
      </c>
      <c r="V11" s="105" t="n">
        <f aca="false">ECONOMIA!I$26*C11/$C$6*(1+ENTRADAS!$C$27)^(6-1)</f>
        <v>8394.84642185933</v>
      </c>
      <c r="W11" s="105" t="n">
        <f aca="false">W10+V11</f>
        <v>43263.725763491</v>
      </c>
      <c r="X11" s="105" t="n">
        <f aca="false">W11-COMPARATIVO!I$31</f>
        <v>22183.185763491</v>
      </c>
      <c r="Y11" s="105" t="n">
        <f aca="false">ECONOMIA!J$26*C11/$C$6*(1+ENTRADAS!$C$27)^(6-1)</f>
        <v>8293.78164742975</v>
      </c>
      <c r="Z11" s="105" t="n">
        <f aca="false">Z10+Y11</f>
        <v>42742.8777973048</v>
      </c>
      <c r="AA11" s="105" t="n">
        <f aca="false">Z11-COMPARATIVO!J$31</f>
        <v>21509.8777973048</v>
      </c>
      <c r="AB11" s="105" t="n">
        <f aca="false">ECONOMIA!K$26*C11/$C$6*(1+ENTRADAS!$C$27)^(6-1)</f>
        <v>8394.84642185933</v>
      </c>
      <c r="AC11" s="105" t="n">
        <f aca="false">AC10+AB11</f>
        <v>43263.725763491</v>
      </c>
      <c r="AD11" s="105" t="n">
        <f aca="false">AC11-COMPARATIVO!K$31</f>
        <v>23873.725763491</v>
      </c>
    </row>
    <row r="12" customFormat="false" ht="15" hidden="false" customHeight="false" outlineLevel="0" collapsed="false">
      <c r="B12" s="104" t="n">
        <v>7</v>
      </c>
      <c r="C12" s="37" t="n">
        <f aca="false">(1-ENTRADAS!$C$33)*(1-ENTRADAS!$C$34)^(7-1)</f>
        <v>0.953835894967077</v>
      </c>
      <c r="D12" s="105" t="n">
        <f aca="false">ECONOMIA!C$26*C12/$C$6*(1+ENTRADAS!$C$27)^(7-1)</f>
        <v>8942.06448586824</v>
      </c>
      <c r="E12" s="105" t="n">
        <f aca="false">E11+D12</f>
        <v>52205.7902493592</v>
      </c>
      <c r="F12" s="105" t="n">
        <f aca="false">E12-COMPARATIVO!C$31</f>
        <v>22407.0902493592</v>
      </c>
      <c r="G12" s="105" t="n">
        <f aca="false">ECONOMIA!D$26*C12/$C$6*(1+ENTRADAS!$C$27)^(7-1)</f>
        <v>8942.06448586824</v>
      </c>
      <c r="H12" s="105" t="n">
        <f aca="false">H11+G12</f>
        <v>52205.7902493592</v>
      </c>
      <c r="I12" s="105" t="n">
        <f aca="false">H12-COMPARATIVO!D$31</f>
        <v>23327.8902493592</v>
      </c>
      <c r="J12" s="105" t="n">
        <f aca="false">ECONOMIA!E$26*C12/$C$6*(1+ENTRADAS!$C$27)^(7-1)</f>
        <v>8917.51174837826</v>
      </c>
      <c r="K12" s="105" t="n">
        <f aca="false">K11+J12</f>
        <v>52062.4458275565</v>
      </c>
      <c r="L12" s="105" t="n">
        <f aca="false">K12-COMPARATIVO!E$31</f>
        <v>33542.1058275565</v>
      </c>
      <c r="M12" s="105" t="n">
        <f aca="false">ECONOMIA!F$26*C12/$C$6*(1+ENTRADAS!$C$27)^(7-1)</f>
        <v>8917.51174837826</v>
      </c>
      <c r="N12" s="105" t="n">
        <f aca="false">N11+M12</f>
        <v>52062.4458275565</v>
      </c>
      <c r="O12" s="105" t="n">
        <f aca="false">N12-COMPARATIVO!F$31</f>
        <v>32542.1058275565</v>
      </c>
      <c r="P12" s="105" t="n">
        <f aca="false">ECONOMIA!G$26*C12/$C$6*(1+ENTRADAS!$C$27)^(7-1)</f>
        <v>7949.59133442035</v>
      </c>
      <c r="Q12" s="105" t="n">
        <f aca="false">Q11+P12</f>
        <v>46411.5080391949</v>
      </c>
      <c r="R12" s="105" t="n">
        <f aca="false">Q12-COMPARATIVO!G$31</f>
        <v>25062.5980391949</v>
      </c>
      <c r="S12" s="105" t="n">
        <f aca="false">ECONOMIA!H$26*C12/$C$6*(1+ENTRADAS!$C$27)^(7-1)</f>
        <v>6871.71912588023</v>
      </c>
      <c r="T12" s="105" t="n">
        <f aca="false">T11+S12</f>
        <v>40118.6468633905</v>
      </c>
      <c r="U12" s="105" t="n">
        <f aca="false">T12-COMPARATIVO!H$31</f>
        <v>25231.0068633905</v>
      </c>
      <c r="V12" s="105" t="n">
        <f aca="false">ECONOMIA!I$26*C12/$C$6*(1+ENTRADAS!$C$27)^(7-1)</f>
        <v>8942.06448586824</v>
      </c>
      <c r="W12" s="105" t="n">
        <f aca="false">W11+V12</f>
        <v>52205.7902493592</v>
      </c>
      <c r="X12" s="105" t="n">
        <f aca="false">W12-COMPARATIVO!I$31</f>
        <v>31125.2502493592</v>
      </c>
      <c r="Y12" s="105" t="n">
        <f aca="false">ECONOMIA!J$26*C12/$C$6*(1+ENTRADAS!$C$27)^(7-1)</f>
        <v>8834.41180411746</v>
      </c>
      <c r="Z12" s="105" t="n">
        <f aca="false">Z11+Y12</f>
        <v>51577.2896014223</v>
      </c>
      <c r="AA12" s="105" t="n">
        <f aca="false">Z12-COMPARATIVO!J$31</f>
        <v>30344.2896014223</v>
      </c>
      <c r="AB12" s="105" t="n">
        <f aca="false">ECONOMIA!K$26*C12/$C$6*(1+ENTRADAS!$C$27)^(7-1)</f>
        <v>8942.06448586824</v>
      </c>
      <c r="AC12" s="105" t="n">
        <f aca="false">AC11+AB12</f>
        <v>52205.7902493592</v>
      </c>
      <c r="AD12" s="105" t="n">
        <f aca="false">AC12-COMPARATIVO!K$31</f>
        <v>32815.7902493592</v>
      </c>
    </row>
    <row r="13" customFormat="false" ht="15" hidden="false" customHeight="false" outlineLevel="0" collapsed="false">
      <c r="B13" s="104" t="n">
        <v>8</v>
      </c>
      <c r="C13" s="37" t="n">
        <f aca="false">(1-ENTRADAS!$C$33)*(1-ENTRADAS!$C$34)^(8-1)</f>
        <v>0.949543633439725</v>
      </c>
      <c r="D13" s="105" t="n">
        <f aca="false">ECONOMIA!C$26*C13/$C$6*(1+ENTRADAS!$C$27)^(8-1)</f>
        <v>9524.95295937956</v>
      </c>
      <c r="E13" s="105" t="n">
        <f aca="false">E12+D13</f>
        <v>61730.7432087388</v>
      </c>
      <c r="F13" s="105" t="n">
        <f aca="false">E13-COMPARATIVO!C$31</f>
        <v>31932.0432087388</v>
      </c>
      <c r="G13" s="105" t="n">
        <f aca="false">ECONOMIA!D$26*C13/$C$6*(1+ENTRADAS!$C$27)^(8-1)</f>
        <v>9524.95295937956</v>
      </c>
      <c r="H13" s="105" t="n">
        <f aca="false">H12+G13</f>
        <v>61730.7432087388</v>
      </c>
      <c r="I13" s="105" t="n">
        <f aca="false">H13-COMPARATIVO!D$31</f>
        <v>32852.8432087388</v>
      </c>
      <c r="J13" s="105" t="n">
        <f aca="false">ECONOMIA!E$26*C13/$C$6*(1+ENTRADAS!$C$27)^(8-1)</f>
        <v>9498.7997516963</v>
      </c>
      <c r="K13" s="105" t="n">
        <f aca="false">K12+J13</f>
        <v>61561.2455792528</v>
      </c>
      <c r="L13" s="105" t="n">
        <f aca="false">K13-COMPARATIVO!E$31</f>
        <v>43040.9055792528</v>
      </c>
      <c r="M13" s="105" t="n">
        <f aca="false">ECONOMIA!F$26*C13/$C$6*(1+ENTRADAS!$C$27)^(8-1)</f>
        <v>9498.7997516963</v>
      </c>
      <c r="N13" s="105" t="n">
        <f aca="false">N12+M13</f>
        <v>61561.2455792528</v>
      </c>
      <c r="O13" s="105" t="n">
        <f aca="false">N13-COMPARATIVO!F$31</f>
        <v>42040.9055792528</v>
      </c>
      <c r="P13" s="105" t="n">
        <f aca="false">ECONOMIA!G$26*C13/$C$6*(1+ENTRADAS!$C$27)^(8-1)</f>
        <v>8467.78544555454</v>
      </c>
      <c r="Q13" s="105" t="n">
        <f aca="false">Q12+P13</f>
        <v>54879.2934847494</v>
      </c>
      <c r="R13" s="105" t="n">
        <f aca="false">Q13-COMPARATIVO!G$31</f>
        <v>33530.3834847494</v>
      </c>
      <c r="S13" s="105" t="n">
        <f aca="false">ECONOMIA!H$26*C13/$C$6*(1+ENTRADAS!$C$27)^(8-1)</f>
        <v>7319.65213710074</v>
      </c>
      <c r="T13" s="105" t="n">
        <f aca="false">T12+S13</f>
        <v>47438.2990004913</v>
      </c>
      <c r="U13" s="105" t="n">
        <f aca="false">T13-COMPARATIVO!H$31</f>
        <v>32550.6590004913</v>
      </c>
      <c r="V13" s="105" t="n">
        <f aca="false">ECONOMIA!I$26*C13/$C$6*(1+ENTRADAS!$C$27)^(8-1)</f>
        <v>9524.95295937956</v>
      </c>
      <c r="W13" s="105" t="n">
        <f aca="false">W12+V13</f>
        <v>61730.7432087388</v>
      </c>
      <c r="X13" s="105" t="n">
        <f aca="false">W13-COMPARATIVO!I$31</f>
        <v>40650.2032087388</v>
      </c>
      <c r="Y13" s="105" t="n">
        <f aca="false">ECONOMIA!J$26*C13/$C$6*(1+ENTRADAS!$C$27)^(8-1)</f>
        <v>9410.28293756886</v>
      </c>
      <c r="Z13" s="105" t="n">
        <f aca="false">Z12+Y13</f>
        <v>60987.5725389912</v>
      </c>
      <c r="AA13" s="105" t="n">
        <f aca="false">Z13-COMPARATIVO!J$31</f>
        <v>39754.5725389912</v>
      </c>
      <c r="AB13" s="105" t="n">
        <f aca="false">ECONOMIA!K$26*C13/$C$6*(1+ENTRADAS!$C$27)^(8-1)</f>
        <v>9524.95295937956</v>
      </c>
      <c r="AC13" s="105" t="n">
        <f aca="false">AC12+AB13</f>
        <v>61730.7432087388</v>
      </c>
      <c r="AD13" s="105" t="n">
        <f aca="false">AC13-COMPARATIVO!K$31</f>
        <v>42340.7432087388</v>
      </c>
    </row>
    <row r="14" customFormat="false" ht="15" hidden="false" customHeight="false" outlineLevel="0" collapsed="false">
      <c r="B14" s="104" t="n">
        <v>9</v>
      </c>
      <c r="C14" s="37" t="n">
        <f aca="false">(1-ENTRADAS!$C$33)*(1-ENTRADAS!$C$34)^(9-1)</f>
        <v>0.945270687089246</v>
      </c>
      <c r="D14" s="105" t="n">
        <f aca="false">ECONOMIA!C$26*C14/$C$6*(1+ENTRADAS!$C$27)^(9-1)</f>
        <v>10145.8370180367</v>
      </c>
      <c r="E14" s="105" t="n">
        <f aca="false">E13+D14</f>
        <v>71876.5802267755</v>
      </c>
      <c r="F14" s="105" t="n">
        <f aca="false">E14-COMPARATIVO!C$31</f>
        <v>42077.8802267755</v>
      </c>
      <c r="G14" s="105" t="n">
        <f aca="false">ECONOMIA!D$26*C14/$C$6*(1+ENTRADAS!$C$27)^(9-1)</f>
        <v>10145.8370180367</v>
      </c>
      <c r="H14" s="105" t="n">
        <f aca="false">H13+G14</f>
        <v>71876.5802267755</v>
      </c>
      <c r="I14" s="105" t="n">
        <f aca="false">H14-COMPARATIVO!D$31</f>
        <v>42998.6802267755</v>
      </c>
      <c r="J14" s="105" t="n">
        <f aca="false">ECONOMIA!E$26*C14/$C$6*(1+ENTRADAS!$C$27)^(9-1)</f>
        <v>10117.9790135106</v>
      </c>
      <c r="K14" s="105" t="n">
        <f aca="false">K13+J14</f>
        <v>71679.2245927635</v>
      </c>
      <c r="L14" s="105" t="n">
        <f aca="false">K14-COMPARATIVO!E$31</f>
        <v>53158.8845927635</v>
      </c>
      <c r="M14" s="105" t="n">
        <f aca="false">ECONOMIA!F$26*C14/$C$6*(1+ENTRADAS!$C$27)^(9-1)</f>
        <v>10117.9790135106</v>
      </c>
      <c r="N14" s="105" t="n">
        <f aca="false">N13+M14</f>
        <v>71679.2245927635</v>
      </c>
      <c r="O14" s="105" t="n">
        <f aca="false">N14-COMPARATIVO!F$31</f>
        <v>52158.8845927635</v>
      </c>
      <c r="P14" s="105" t="n">
        <f aca="false">ECONOMIA!G$26*C14/$C$6*(1+ENTRADAS!$C$27)^(9-1)</f>
        <v>9019.75803982302</v>
      </c>
      <c r="Q14" s="105" t="n">
        <f aca="false">Q13+P14</f>
        <v>63899.0515245724</v>
      </c>
      <c r="R14" s="105" t="n">
        <f aca="false">Q14-COMPARATIVO!G$31</f>
        <v>42550.1415245724</v>
      </c>
      <c r="S14" s="105" t="n">
        <f aca="false">ECONOMIA!H$26*C14/$C$6*(1+ENTRADAS!$C$27)^(9-1)</f>
        <v>7796.78366165765</v>
      </c>
      <c r="T14" s="105" t="n">
        <f aca="false">T13+S14</f>
        <v>55235.0826621489</v>
      </c>
      <c r="U14" s="105" t="n">
        <f aca="false">T14-COMPARATIVO!H$31</f>
        <v>40347.4426621489</v>
      </c>
      <c r="V14" s="105" t="n">
        <f aca="false">ECONOMIA!I$26*C14/$C$6*(1+ENTRADAS!$C$27)^(9-1)</f>
        <v>10145.8370180367</v>
      </c>
      <c r="W14" s="105" t="n">
        <f aca="false">W13+V14</f>
        <v>71876.5802267755</v>
      </c>
      <c r="X14" s="105" t="n">
        <f aca="false">W14-COMPARATIVO!I$31</f>
        <v>50796.0402267755</v>
      </c>
      <c r="Y14" s="105" t="n">
        <f aca="false">ECONOMIA!J$26*C14/$C$6*(1+ENTRADAS!$C$27)^(9-1)</f>
        <v>10023.6922308543</v>
      </c>
      <c r="Z14" s="105" t="n">
        <f aca="false">Z13+Y14</f>
        <v>71011.2647698455</v>
      </c>
      <c r="AA14" s="105" t="n">
        <f aca="false">Z14-COMPARATIVO!J$31</f>
        <v>49778.2647698455</v>
      </c>
      <c r="AB14" s="105" t="n">
        <f aca="false">ECONOMIA!K$26*C14/$C$6*(1+ENTRADAS!$C$27)^(9-1)</f>
        <v>10145.8370180367</v>
      </c>
      <c r="AC14" s="105" t="n">
        <f aca="false">AC13+AB14</f>
        <v>71876.5802267755</v>
      </c>
      <c r="AD14" s="105" t="n">
        <f aca="false">AC14-COMPARATIVO!K$31</f>
        <v>52486.5802267755</v>
      </c>
    </row>
    <row r="15" customFormat="false" ht="15" hidden="false" customHeight="false" outlineLevel="0" collapsed="false">
      <c r="B15" s="106" t="n">
        <v>10</v>
      </c>
      <c r="C15" s="107" t="n">
        <f aca="false">(1-ENTRADAS!$C$33)*(1-ENTRADAS!$C$34)^(10-1)</f>
        <v>0.941016968997345</v>
      </c>
      <c r="D15" s="108" t="n">
        <f aca="false">ECONOMIA!C$26*C15/$C$6*(1+ENTRADAS!$C$27)^(10-1)</f>
        <v>10807.1934040574</v>
      </c>
      <c r="E15" s="108" t="n">
        <f aca="false">E14+D15</f>
        <v>82683.773630833</v>
      </c>
      <c r="F15" s="108" t="n">
        <f aca="false">E15-COMPARATIVO!C$31</f>
        <v>52885.073630833</v>
      </c>
      <c r="G15" s="108" t="n">
        <f aca="false">ECONOMIA!D$26*C15/$C$6*(1+ENTRADAS!$C$27)^(10-1)</f>
        <v>10807.1934040574</v>
      </c>
      <c r="H15" s="108" t="n">
        <f aca="false">H14+G15</f>
        <v>82683.773630833</v>
      </c>
      <c r="I15" s="108" t="n">
        <f aca="false">H15-COMPARATIVO!D$31</f>
        <v>53805.8736308329</v>
      </c>
      <c r="J15" s="108" t="n">
        <f aca="false">ECONOMIA!E$26*C15/$C$6*(1+ENTRADAS!$C$27)^(10-1)</f>
        <v>10777.5194755063</v>
      </c>
      <c r="K15" s="108" t="n">
        <f aca="false">K14+J15</f>
        <v>82456.7440682698</v>
      </c>
      <c r="L15" s="108" t="n">
        <f aca="false">K15-COMPARATIVO!E$31</f>
        <v>63936.4040682698</v>
      </c>
      <c r="M15" s="108" t="n">
        <f aca="false">ECONOMIA!F$26*C15/$C$6*(1+ENTRADAS!$C$27)^(10-1)</f>
        <v>10777.5194755063</v>
      </c>
      <c r="N15" s="108" t="n">
        <f aca="false">N14+M15</f>
        <v>82456.7440682698</v>
      </c>
      <c r="O15" s="108" t="n">
        <f aca="false">N15-COMPARATIVO!F$31</f>
        <v>62936.4040682698</v>
      </c>
      <c r="P15" s="108" t="n">
        <f aca="false">ECONOMIA!G$26*C15/$C$6*(1+ENTRADAS!$C$27)^(10-1)</f>
        <v>9607.71096764888</v>
      </c>
      <c r="Q15" s="108" t="n">
        <f aca="false">Q14+P15</f>
        <v>73506.7624922213</v>
      </c>
      <c r="R15" s="108" t="n">
        <f aca="false">Q15-COMPARATIVO!G$31</f>
        <v>52157.8524922213</v>
      </c>
      <c r="S15" s="108" t="n">
        <f aca="false">ECONOMIA!H$26*C15/$C$6*(1+ENTRADAS!$C$27)^(10-1)</f>
        <v>8305.01700464281</v>
      </c>
      <c r="T15" s="108" t="n">
        <f aca="false">T14+S15</f>
        <v>63540.0996667917</v>
      </c>
      <c r="U15" s="108" t="n">
        <f aca="false">T15-COMPARATIVO!H$31</f>
        <v>48652.4596667917</v>
      </c>
      <c r="V15" s="108" t="n">
        <f aca="false">ECONOMIA!I$26*C15/$C$6*(1+ENTRADAS!$C$27)^(10-1)</f>
        <v>10807.1934040574</v>
      </c>
      <c r="W15" s="108" t="n">
        <f aca="false">W14+V15</f>
        <v>82683.773630833</v>
      </c>
      <c r="X15" s="108" t="n">
        <f aca="false">W15-COMPARATIVO!I$31</f>
        <v>61603.233630833</v>
      </c>
      <c r="Y15" s="108" t="n">
        <f aca="false">ECONOMIA!J$26*C15/$C$6*(1+ENTRADAS!$C$27)^(10-1)</f>
        <v>10677.0866089225</v>
      </c>
      <c r="Z15" s="108" t="n">
        <f aca="false">Z14+Y15</f>
        <v>81688.351378768</v>
      </c>
      <c r="AA15" s="108" t="n">
        <f aca="false">Z15-COMPARATIVO!J$31</f>
        <v>60455.351378768</v>
      </c>
      <c r="AB15" s="108" t="n">
        <f aca="false">ECONOMIA!K$26*C15/$C$6*(1+ENTRADAS!$C$27)^(10-1)</f>
        <v>10807.1934040574</v>
      </c>
      <c r="AC15" s="108" t="n">
        <f aca="false">AC14+AB15</f>
        <v>82683.773630833</v>
      </c>
      <c r="AD15" s="108" t="n">
        <f aca="false">AC15-COMPARATIVO!K$31</f>
        <v>63293.773630833</v>
      </c>
    </row>
    <row r="16" customFormat="false" ht="15" hidden="false" customHeight="false" outlineLevel="0" collapsed="false">
      <c r="B16" s="104" t="n">
        <v>11</v>
      </c>
      <c r="C16" s="37" t="n">
        <f aca="false">(1-ENTRADAS!$C$33)*(1-ENTRADAS!$C$34)^(11-1)</f>
        <v>0.936782392636857</v>
      </c>
      <c r="D16" s="105" t="n">
        <f aca="false">ECONOMIA!C$26*C16/$C$6*(1+ENTRADAS!$C$27)^(11-1)</f>
        <v>11511.6603061009</v>
      </c>
      <c r="E16" s="105" t="n">
        <f aca="false">E15+D16</f>
        <v>94195.4339369339</v>
      </c>
      <c r="F16" s="105" t="n">
        <f aca="false">E16-COMPARATIVO!C$31</f>
        <v>64396.7339369339</v>
      </c>
      <c r="G16" s="105" t="n">
        <f aca="false">ECONOMIA!D$26*C16/$C$6*(1+ENTRADAS!$C$27)^(11-1)</f>
        <v>11511.6603061009</v>
      </c>
      <c r="H16" s="105" t="n">
        <f aca="false">H15+G16</f>
        <v>94195.4339369339</v>
      </c>
      <c r="I16" s="105" t="n">
        <f aca="false">H16-COMPARATIVO!D$31</f>
        <v>65317.5339369339</v>
      </c>
      <c r="J16" s="105" t="n">
        <f aca="false">ECONOMIA!E$26*C16/$C$6*(1+ENTRADAS!$C$27)^(11-1)</f>
        <v>11480.0520825172</v>
      </c>
      <c r="K16" s="105" t="n">
        <f aca="false">K15+J16</f>
        <v>93936.796150787</v>
      </c>
      <c r="L16" s="105" t="n">
        <f aca="false">K16-COMPARATIVO!E$31</f>
        <v>75416.456150787</v>
      </c>
      <c r="M16" s="105" t="n">
        <f aca="false">ECONOMIA!F$26*C16/$C$6*(1+ENTRADAS!$C$27)^(11-1)</f>
        <v>11480.0520825172</v>
      </c>
      <c r="N16" s="105" t="n">
        <f aca="false">N15+M16</f>
        <v>93936.796150787</v>
      </c>
      <c r="O16" s="105" t="n">
        <f aca="false">N16-COMPARATIVO!F$31</f>
        <v>74416.456150787</v>
      </c>
      <c r="P16" s="105" t="n">
        <f aca="false">ECONOMIA!G$26*C16/$C$6*(1+ENTRADAS!$C$27)^(11-1)</f>
        <v>10233.9896070751</v>
      </c>
      <c r="Q16" s="105" t="n">
        <f aca="false">Q15+P16</f>
        <v>83740.7520992964</v>
      </c>
      <c r="R16" s="105" t="n">
        <f aca="false">Q16-COMPARATIVO!G$31</f>
        <v>62391.8420992964</v>
      </c>
      <c r="S16" s="105" t="n">
        <f aca="false">ECONOMIA!H$26*C16/$C$6*(1+ENTRADAS!$C$27)^(11-1)</f>
        <v>8846.37953809045</v>
      </c>
      <c r="T16" s="105" t="n">
        <f aca="false">T15+S16</f>
        <v>72386.4792048822</v>
      </c>
      <c r="U16" s="105" t="n">
        <f aca="false">T16-COMPARATIVO!H$31</f>
        <v>57498.8392048822</v>
      </c>
      <c r="V16" s="105" t="n">
        <f aca="false">ECONOMIA!I$26*C16/$C$6*(1+ENTRADAS!$C$27)^(11-1)</f>
        <v>11511.6603061009</v>
      </c>
      <c r="W16" s="105" t="n">
        <f aca="false">W15+V16</f>
        <v>94195.4339369339</v>
      </c>
      <c r="X16" s="105" t="n">
        <f aca="false">W16-COMPARATIVO!I$31</f>
        <v>73114.8939369339</v>
      </c>
      <c r="Y16" s="105" t="n">
        <f aca="false">ECONOMIA!J$26*C16/$C$6*(1+ENTRADAS!$C$27)^(11-1)</f>
        <v>11373.0724995251</v>
      </c>
      <c r="Z16" s="105" t="n">
        <f aca="false">Z15+Y16</f>
        <v>93061.4238782931</v>
      </c>
      <c r="AA16" s="105" t="n">
        <f aca="false">Z16-COMPARATIVO!J$31</f>
        <v>71828.4238782931</v>
      </c>
      <c r="AB16" s="105" t="n">
        <f aca="false">ECONOMIA!K$26*C16/$C$6*(1+ENTRADAS!$C$27)^(11-1)</f>
        <v>11511.6603061009</v>
      </c>
      <c r="AC16" s="105" t="n">
        <f aca="false">AC15+AB16</f>
        <v>94195.4339369339</v>
      </c>
      <c r="AD16" s="105" t="n">
        <f aca="false">AC16-COMPARATIVO!K$31</f>
        <v>74805.4339369339</v>
      </c>
    </row>
    <row r="17" customFormat="false" ht="15" hidden="false" customHeight="false" outlineLevel="0" collapsed="false">
      <c r="B17" s="104" t="n">
        <v>12</v>
      </c>
      <c r="C17" s="37" t="n">
        <f aca="false">(1-ENTRADAS!$C$33)*(1-ENTRADAS!$C$34)^(12-1)</f>
        <v>0.932566871869991</v>
      </c>
      <c r="D17" s="105" t="n">
        <f aca="false">ECONOMIA!C$26*C17/$C$6*(1+ENTRADAS!$C$27)^(12-1)</f>
        <v>12262.0478831541</v>
      </c>
      <c r="E17" s="105" t="n">
        <f aca="false">E16+D17</f>
        <v>106457.481820088</v>
      </c>
      <c r="F17" s="105" t="n">
        <f aca="false">E17-COMPARATIVO!C$31</f>
        <v>76658.781820088</v>
      </c>
      <c r="G17" s="105" t="n">
        <f aca="false">ECONOMIA!D$26*C17/$C$6*(1+ENTRADAS!$C$27)^(12-1)</f>
        <v>12262.0478831541</v>
      </c>
      <c r="H17" s="105" t="n">
        <f aca="false">H16+G17</f>
        <v>106457.481820088</v>
      </c>
      <c r="I17" s="105" t="n">
        <f aca="false">H17-COMPARATIVO!D$31</f>
        <v>77579.581820088</v>
      </c>
      <c r="J17" s="105" t="n">
        <f aca="false">ECONOMIA!E$26*C17/$C$6*(1+ENTRADAS!$C$27)^(12-1)</f>
        <v>12228.3792775161</v>
      </c>
      <c r="K17" s="105" t="n">
        <f aca="false">K16+J17</f>
        <v>106165.175428303</v>
      </c>
      <c r="L17" s="105" t="n">
        <f aca="false">K17-COMPARATIVO!E$31</f>
        <v>87644.8354283031</v>
      </c>
      <c r="M17" s="105" t="n">
        <f aca="false">ECONOMIA!F$26*C17/$C$6*(1+ENTRADAS!$C$27)^(12-1)</f>
        <v>12228.3792775161</v>
      </c>
      <c r="N17" s="105" t="n">
        <f aca="false">N16+M17</f>
        <v>106165.175428303</v>
      </c>
      <c r="O17" s="105" t="n">
        <f aca="false">N17-COMPARATIVO!F$31</f>
        <v>86644.8354283031</v>
      </c>
      <c r="P17" s="105" t="n">
        <f aca="false">ECONOMIA!G$26*C17/$C$6*(1+ENTRADAS!$C$27)^(12-1)</f>
        <v>10901.0922196123</v>
      </c>
      <c r="Q17" s="105" t="n">
        <f aca="false">Q16+P17</f>
        <v>94641.8443189086</v>
      </c>
      <c r="R17" s="105" t="n">
        <f aca="false">Q17-COMPARATIVO!G$31</f>
        <v>73292.9343189086</v>
      </c>
      <c r="S17" s="105" t="n">
        <f aca="false">ECONOMIA!H$26*C17/$C$6*(1+ENTRADAS!$C$27)^(12-1)</f>
        <v>9423.03078828087</v>
      </c>
      <c r="T17" s="105" t="n">
        <f aca="false">T16+S17</f>
        <v>81809.509993163</v>
      </c>
      <c r="U17" s="105" t="n">
        <f aca="false">T17-COMPARATIVO!H$31</f>
        <v>66921.869993163</v>
      </c>
      <c r="V17" s="105" t="n">
        <f aca="false">ECONOMIA!I$26*C17/$C$6*(1+ENTRADAS!$C$27)^(12-1)</f>
        <v>12262.0478831541</v>
      </c>
      <c r="W17" s="105" t="n">
        <f aca="false">W16+V17</f>
        <v>106457.481820088</v>
      </c>
      <c r="X17" s="105" t="n">
        <f aca="false">W17-COMPARATIVO!I$31</f>
        <v>85376.941820088</v>
      </c>
      <c r="Y17" s="105" t="n">
        <f aca="false">ECONOMIA!J$26*C17/$C$6*(1+ENTRADAS!$C$27)^(12-1)</f>
        <v>12114.4262304067</v>
      </c>
      <c r="Z17" s="105" t="n">
        <f aca="false">Z16+Y17</f>
        <v>105175.8501087</v>
      </c>
      <c r="AA17" s="105" t="n">
        <f aca="false">Z17-COMPARATIVO!J$31</f>
        <v>83942.8501086998</v>
      </c>
      <c r="AB17" s="105" t="n">
        <f aca="false">ECONOMIA!K$26*C17/$C$6*(1+ENTRADAS!$C$27)^(12-1)</f>
        <v>12262.0478831541</v>
      </c>
      <c r="AC17" s="105" t="n">
        <f aca="false">AC16+AB17</f>
        <v>106457.481820088</v>
      </c>
      <c r="AD17" s="105" t="n">
        <f aca="false">AC17-COMPARATIVO!K$31</f>
        <v>87067.481820088</v>
      </c>
    </row>
    <row r="18" customFormat="false" ht="15" hidden="false" customHeight="false" outlineLevel="0" collapsed="false">
      <c r="B18" s="104" t="n">
        <v>13</v>
      </c>
      <c r="C18" s="37" t="n">
        <f aca="false">(1-ENTRADAS!$C$33)*(1-ENTRADAS!$C$34)^(13-1)</f>
        <v>0.928370320946576</v>
      </c>
      <c r="D18" s="105" t="n">
        <f aca="false">ECONOMIA!C$26*C18/$C$6*(1+ENTRADAS!$C$27)^(13-1)</f>
        <v>13061.3494744175</v>
      </c>
      <c r="E18" s="105" t="n">
        <f aca="false">E17+D18</f>
        <v>119518.831294506</v>
      </c>
      <c r="F18" s="105" t="n">
        <f aca="false">E18-COMPARATIVO!C$31</f>
        <v>89720.1312945055</v>
      </c>
      <c r="G18" s="105" t="n">
        <f aca="false">ECONOMIA!D$26*C18/$C$6*(1+ENTRADAS!$C$27)^(13-1)</f>
        <v>13061.3494744175</v>
      </c>
      <c r="H18" s="105" t="n">
        <f aca="false">H17+G18</f>
        <v>119518.831294506</v>
      </c>
      <c r="I18" s="105" t="n">
        <f aca="false">H18-COMPARATIVO!D$31</f>
        <v>90640.9312945055</v>
      </c>
      <c r="J18" s="105" t="n">
        <f aca="false">ECONOMIA!E$26*C18/$C$6*(1+ENTRADAS!$C$27)^(13-1)</f>
        <v>13025.486180721</v>
      </c>
      <c r="K18" s="105" t="n">
        <f aca="false">K17+J18</f>
        <v>119190.661609024</v>
      </c>
      <c r="L18" s="105" t="n">
        <f aca="false">K18-COMPARATIVO!E$31</f>
        <v>100670.321609024</v>
      </c>
      <c r="M18" s="105" t="n">
        <f aca="false">ECONOMIA!F$26*C18/$C$6*(1+ENTRADAS!$C$27)^(13-1)</f>
        <v>13025.486180721</v>
      </c>
      <c r="N18" s="105" t="n">
        <f aca="false">N17+M18</f>
        <v>119190.661609024</v>
      </c>
      <c r="O18" s="105" t="n">
        <f aca="false">N18-COMPARATIVO!F$31</f>
        <v>99670.321609024</v>
      </c>
      <c r="P18" s="105" t="n">
        <f aca="false">ECONOMIA!G$26*C18/$C$6*(1+ENTRADAS!$C$27)^(13-1)</f>
        <v>11611.6799159477</v>
      </c>
      <c r="Q18" s="105" t="n">
        <f aca="false">Q17+P18</f>
        <v>106253.524234856</v>
      </c>
      <c r="R18" s="105" t="n">
        <f aca="false">Q18-COMPARATIVO!G$31</f>
        <v>84904.6142348563</v>
      </c>
      <c r="S18" s="105" t="n">
        <f aca="false">ECONOMIA!H$26*C18/$C$6*(1+ENTRADAS!$C$27)^(13-1)</f>
        <v>10037.271050215</v>
      </c>
      <c r="T18" s="105" t="n">
        <f aca="false">T17+S18</f>
        <v>91846.781043378</v>
      </c>
      <c r="U18" s="105" t="n">
        <f aca="false">T18-COMPARATIVO!H$31</f>
        <v>76959.141043378</v>
      </c>
      <c r="V18" s="105" t="n">
        <f aca="false">ECONOMIA!I$26*C18/$C$6*(1+ENTRADAS!$C$27)^(13-1)</f>
        <v>13061.3494744175</v>
      </c>
      <c r="W18" s="105" t="n">
        <f aca="false">W17+V18</f>
        <v>119518.831294506</v>
      </c>
      <c r="X18" s="105" t="n">
        <f aca="false">W18-COMPARATIVO!I$31</f>
        <v>98438.2912945055</v>
      </c>
      <c r="Y18" s="105" t="n">
        <f aca="false">ECONOMIA!J$26*C18/$C$6*(1+ENTRADAS!$C$27)^(13-1)</f>
        <v>12904.1051042357</v>
      </c>
      <c r="Z18" s="105" t="n">
        <f aca="false">Z17+Y18</f>
        <v>118079.955212936</v>
      </c>
      <c r="AA18" s="105" t="n">
        <f aca="false">Z18-COMPARATIVO!J$31</f>
        <v>96846.9552129356</v>
      </c>
      <c r="AB18" s="105" t="n">
        <f aca="false">ECONOMIA!K$26*C18/$C$6*(1+ENTRADAS!$C$27)^(13-1)</f>
        <v>13061.3494744175</v>
      </c>
      <c r="AC18" s="105" t="n">
        <f aca="false">AC17+AB18</f>
        <v>119518.831294506</v>
      </c>
      <c r="AD18" s="105" t="n">
        <f aca="false">AC18-COMPARATIVO!K$31</f>
        <v>100128.831294506</v>
      </c>
    </row>
    <row r="19" customFormat="false" ht="15" hidden="false" customHeight="false" outlineLevel="0" collapsed="false">
      <c r="B19" s="104" t="n">
        <v>14</v>
      </c>
      <c r="C19" s="37" t="n">
        <f aca="false">(1-ENTRADAS!$C$33)*(1-ENTRADAS!$C$34)^(14-1)</f>
        <v>0.924192654502317</v>
      </c>
      <c r="D19" s="105" t="n">
        <f aca="false">ECONOMIA!C$26*C19/$C$6*(1+ENTRADAS!$C$27)^(14-1)</f>
        <v>13912.7535399074</v>
      </c>
      <c r="E19" s="105" t="n">
        <f aca="false">E18+D19</f>
        <v>133431.584834413</v>
      </c>
      <c r="F19" s="105" t="n">
        <f aca="false">E19-COMPARATIVO!C$31</f>
        <v>103632.884834413</v>
      </c>
      <c r="G19" s="105" t="n">
        <f aca="false">ECONOMIA!D$26*C19/$C$6*(1+ENTRADAS!$C$27)^(14-1)</f>
        <v>13912.7535399074</v>
      </c>
      <c r="H19" s="105" t="n">
        <f aca="false">H18+G19</f>
        <v>133431.584834413</v>
      </c>
      <c r="I19" s="105" t="n">
        <f aca="false">H19-COMPARATIVO!D$31</f>
        <v>104553.684834413</v>
      </c>
      <c r="J19" s="105" t="n">
        <f aca="false">ECONOMIA!E$26*C19/$C$6*(1+ENTRADAS!$C$27)^(14-1)</f>
        <v>13874.5524974113</v>
      </c>
      <c r="K19" s="105" t="n">
        <f aca="false">K18+J19</f>
        <v>133065.214106435</v>
      </c>
      <c r="L19" s="105" t="n">
        <f aca="false">K19-COMPARATIVO!E$31</f>
        <v>114544.874106435</v>
      </c>
      <c r="M19" s="105" t="n">
        <f aca="false">ECONOMIA!F$26*C19/$C$6*(1+ENTRADAS!$C$27)^(14-1)</f>
        <v>13874.5524974113</v>
      </c>
      <c r="N19" s="105" t="n">
        <f aca="false">N18+M19</f>
        <v>133065.214106435</v>
      </c>
      <c r="O19" s="105" t="n">
        <f aca="false">N19-COMPARATIVO!F$31</f>
        <v>113544.874106435</v>
      </c>
      <c r="P19" s="105" t="n">
        <f aca="false">ECONOMIA!G$26*C19/$C$6*(1+ENTRADAS!$C$27)^(14-1)</f>
        <v>12368.5872712687</v>
      </c>
      <c r="Q19" s="105" t="n">
        <f aca="false">Q18+P19</f>
        <v>118622.111506125</v>
      </c>
      <c r="R19" s="105" t="n">
        <f aca="false">Q19-COMPARATIVO!G$31</f>
        <v>97273.201506125</v>
      </c>
      <c r="S19" s="105" t="n">
        <f aca="false">ECONOMIA!H$26*C19/$C$6*(1+ENTRADAS!$C$27)^(14-1)</f>
        <v>10691.5505636232</v>
      </c>
      <c r="T19" s="105" t="n">
        <f aca="false">T18+S19</f>
        <v>102538.331607001</v>
      </c>
      <c r="U19" s="105" t="n">
        <f aca="false">T19-COMPARATIVO!H$31</f>
        <v>87650.6916070012</v>
      </c>
      <c r="V19" s="105" t="n">
        <f aca="false">ECONOMIA!I$26*C19/$C$6*(1+ENTRADAS!$C$27)^(14-1)</f>
        <v>13912.7535399074</v>
      </c>
      <c r="W19" s="105" t="n">
        <f aca="false">W18+V19</f>
        <v>133431.584834413</v>
      </c>
      <c r="X19" s="105" t="n">
        <f aca="false">W19-COMPARATIVO!I$31</f>
        <v>112351.044834413</v>
      </c>
      <c r="Y19" s="105" t="n">
        <f aca="false">ECONOMIA!J$26*C19/$C$6*(1+ENTRADAS!$C$27)^(14-1)</f>
        <v>13745.2591954554</v>
      </c>
      <c r="Z19" s="105" t="n">
        <f aca="false">Z18+Y19</f>
        <v>131825.214408391</v>
      </c>
      <c r="AA19" s="105" t="n">
        <f aca="false">Z19-COMPARATIVO!J$31</f>
        <v>110592.214408391</v>
      </c>
      <c r="AB19" s="105" t="n">
        <f aca="false">ECONOMIA!K$26*C19/$C$6*(1+ENTRADAS!$C$27)^(14-1)</f>
        <v>13912.7535399074</v>
      </c>
      <c r="AC19" s="105" t="n">
        <f aca="false">AC18+AB19</f>
        <v>133431.584834413</v>
      </c>
      <c r="AD19" s="105" t="n">
        <f aca="false">AC19-COMPARATIVO!K$31</f>
        <v>114041.584834413</v>
      </c>
    </row>
    <row r="20" customFormat="false" ht="15" hidden="false" customHeight="false" outlineLevel="0" collapsed="false">
      <c r="B20" s="104" t="n">
        <v>15</v>
      </c>
      <c r="C20" s="37" t="n">
        <f aca="false">(1-ENTRADAS!$C$33)*(1-ENTRADAS!$C$34)^(15-1)</f>
        <v>0.920033787557056</v>
      </c>
      <c r="D20" s="105" t="n">
        <f aca="false">ECONOMIA!C$26*C20/$C$6*(1+ENTRADAS!$C$27)^(15-1)</f>
        <v>14819.6563794063</v>
      </c>
      <c r="E20" s="105" t="n">
        <f aca="false">E19+D20</f>
        <v>148251.241213819</v>
      </c>
      <c r="F20" s="105" t="n">
        <f aca="false">E20-COMPARATIVO!C$31</f>
        <v>118452.541213819</v>
      </c>
      <c r="G20" s="105" t="n">
        <f aca="false">ECONOMIA!D$26*C20/$C$6*(1+ENTRADAS!$C$27)^(15-1)</f>
        <v>14819.6563794063</v>
      </c>
      <c r="H20" s="105" t="n">
        <f aca="false">H19+G20</f>
        <v>148251.241213819</v>
      </c>
      <c r="I20" s="105" t="n">
        <f aca="false">H20-COMPARATIVO!D$31</f>
        <v>119373.341213819</v>
      </c>
      <c r="J20" s="105" t="n">
        <f aca="false">ECONOMIA!E$26*C20/$C$6*(1+ENTRADAS!$C$27)^(15-1)</f>
        <v>14778.965201955</v>
      </c>
      <c r="K20" s="105" t="n">
        <f aca="false">K19+J20</f>
        <v>147844.17930839</v>
      </c>
      <c r="L20" s="105" t="n">
        <f aca="false">K20-COMPARATIVO!E$31</f>
        <v>129323.83930839</v>
      </c>
      <c r="M20" s="105" t="n">
        <f aca="false">ECONOMIA!F$26*C20/$C$6*(1+ENTRADAS!$C$27)^(15-1)</f>
        <v>14778.965201955</v>
      </c>
      <c r="N20" s="105" t="n">
        <f aca="false">N19+M20</f>
        <v>147844.17930839</v>
      </c>
      <c r="O20" s="105" t="n">
        <f aca="false">N20-COMPARATIVO!F$31</f>
        <v>128323.83930839</v>
      </c>
      <c r="P20" s="105" t="n">
        <f aca="false">ECONOMIA!G$26*C20/$C$6*(1+ENTRADAS!$C$27)^(15-1)</f>
        <v>13174.8336325464</v>
      </c>
      <c r="Q20" s="105" t="n">
        <f aca="false">Q19+P20</f>
        <v>131796.945138671</v>
      </c>
      <c r="R20" s="105" t="n">
        <f aca="false">Q20-COMPARATIVO!G$31</f>
        <v>110448.035138671</v>
      </c>
      <c r="S20" s="105" t="n">
        <f aca="false">ECONOMIA!H$26*C20/$C$6*(1+ENTRADAS!$C$27)^(15-1)</f>
        <v>11388.479287113</v>
      </c>
      <c r="T20" s="105" t="n">
        <f aca="false">T19+S20</f>
        <v>113926.810894114</v>
      </c>
      <c r="U20" s="105" t="n">
        <f aca="false">T20-COMPARATIVO!H$31</f>
        <v>99039.1708941142</v>
      </c>
      <c r="V20" s="105" t="n">
        <f aca="false">ECONOMIA!I$26*C20/$C$6*(1+ENTRADAS!$C$27)^(15-1)</f>
        <v>14819.6563794063</v>
      </c>
      <c r="W20" s="105" t="n">
        <f aca="false">W19+V20</f>
        <v>148251.241213819</v>
      </c>
      <c r="X20" s="105" t="n">
        <f aca="false">W20-COMPARATIVO!I$31</f>
        <v>127170.701213819</v>
      </c>
      <c r="Y20" s="105" t="n">
        <f aca="false">ECONOMIA!J$26*C20/$C$6*(1+ENTRADAS!$C$27)^(15-1)</f>
        <v>14641.2439161111</v>
      </c>
      <c r="Z20" s="105" t="n">
        <f aca="false">Z19+Y20</f>
        <v>146466.458324502</v>
      </c>
      <c r="AA20" s="105" t="n">
        <f aca="false">Z20-COMPARATIVO!J$31</f>
        <v>125233.458324502</v>
      </c>
      <c r="AB20" s="105" t="n">
        <f aca="false">ECONOMIA!K$26*C20/$C$6*(1+ENTRADAS!$C$27)^(15-1)</f>
        <v>14819.6563794063</v>
      </c>
      <c r="AC20" s="105" t="n">
        <f aca="false">AC19+AB20</f>
        <v>148251.241213819</v>
      </c>
      <c r="AD20" s="105" t="n">
        <f aca="false">AC20-COMPARATIVO!K$31</f>
        <v>128861.241213819</v>
      </c>
    </row>
    <row r="21" customFormat="false" ht="15" hidden="false" customHeight="false" outlineLevel="0" collapsed="false">
      <c r="B21" s="104" t="n">
        <v>16</v>
      </c>
      <c r="C21" s="37" t="n">
        <f aca="false">(1-ENTRADAS!$C$33)*(1-ENTRADAS!$C$34)^(16-1)</f>
        <v>0.91589363551305</v>
      </c>
      <c r="D21" s="105" t="n">
        <f aca="false">ECONOMIA!C$26*C21/$C$6*(1+ENTRADAS!$C$27)^(16-1)</f>
        <v>15785.6756804979</v>
      </c>
      <c r="E21" s="105" t="n">
        <f aca="false">E20+D21</f>
        <v>164036.916894317</v>
      </c>
      <c r="F21" s="105" t="n">
        <f aca="false">E21-COMPARATIVO!C$31</f>
        <v>134238.216894317</v>
      </c>
      <c r="G21" s="105" t="n">
        <f aca="false">ECONOMIA!D$26*C21/$C$6*(1+ENTRADAS!$C$27)^(16-1)</f>
        <v>15785.6756804979</v>
      </c>
      <c r="H21" s="105" t="n">
        <f aca="false">H20+G21</f>
        <v>164036.916894317</v>
      </c>
      <c r="I21" s="105" t="n">
        <f aca="false">H21-COMPARATIVO!D$31</f>
        <v>135159.016894317</v>
      </c>
      <c r="J21" s="105" t="n">
        <f aca="false">ECONOMIA!E$26*C21/$C$6*(1+ENTRADAS!$C$27)^(16-1)</f>
        <v>15742.3320486445</v>
      </c>
      <c r="K21" s="105" t="n">
        <f aca="false">K20+J21</f>
        <v>163586.511357035</v>
      </c>
      <c r="L21" s="105" t="n">
        <f aca="false">K21-COMPARATIVO!E$31</f>
        <v>145066.171357035</v>
      </c>
      <c r="M21" s="105" t="n">
        <f aca="false">ECONOMIA!F$26*C21/$C$6*(1+ENTRADAS!$C$27)^(16-1)</f>
        <v>15742.3320486445</v>
      </c>
      <c r="N21" s="105" t="n">
        <f aca="false">N20+M21</f>
        <v>163586.511357035</v>
      </c>
      <c r="O21" s="105" t="n">
        <f aca="false">N21-COMPARATIVO!F$31</f>
        <v>144066.171357035</v>
      </c>
      <c r="P21" s="105" t="n">
        <f aca="false">ECONOMIA!G$26*C21/$C$6*(1+ENTRADAS!$C$27)^(16-1)</f>
        <v>14033.6351628839</v>
      </c>
      <c r="Q21" s="105" t="n">
        <f aca="false">Q20+P21</f>
        <v>145830.580301555</v>
      </c>
      <c r="R21" s="105" t="n">
        <f aca="false">Q21-COMPARATIVO!G$31</f>
        <v>124481.670301555</v>
      </c>
      <c r="S21" s="105" t="n">
        <f aca="false">ECONOMIA!H$26*C21/$C$6*(1+ENTRADAS!$C$27)^(16-1)</f>
        <v>12130.8373094435</v>
      </c>
      <c r="T21" s="105" t="n">
        <f aca="false">T20+S21</f>
        <v>126057.648203558</v>
      </c>
      <c r="U21" s="105" t="n">
        <f aca="false">T21-COMPARATIVO!H$31</f>
        <v>111170.008203558</v>
      </c>
      <c r="V21" s="105" t="n">
        <f aca="false">ECONOMIA!I$26*C21/$C$6*(1+ENTRADAS!$C$27)^(16-1)</f>
        <v>15785.6756804979</v>
      </c>
      <c r="W21" s="105" t="n">
        <f aca="false">W20+V21</f>
        <v>164036.916894317</v>
      </c>
      <c r="X21" s="105" t="n">
        <f aca="false">W21-COMPARATIVO!I$31</f>
        <v>142956.376894317</v>
      </c>
      <c r="Y21" s="105" t="n">
        <f aca="false">ECONOMIA!J$26*C21/$C$6*(1+ENTRADAS!$C$27)^(16-1)</f>
        <v>15595.6334007828</v>
      </c>
      <c r="Z21" s="105" t="n">
        <f aca="false">Z20+Y21</f>
        <v>162062.091725285</v>
      </c>
      <c r="AA21" s="105" t="n">
        <f aca="false">Z21-COMPARATIVO!J$31</f>
        <v>140829.091725285</v>
      </c>
      <c r="AB21" s="105" t="n">
        <f aca="false">ECONOMIA!K$26*C21/$C$6*(1+ENTRADAS!$C$27)^(16-1)</f>
        <v>15785.6756804979</v>
      </c>
      <c r="AC21" s="105" t="n">
        <f aca="false">AC20+AB21</f>
        <v>164036.916894317</v>
      </c>
      <c r="AD21" s="105" t="n">
        <f aca="false">AC21-COMPARATIVO!K$31</f>
        <v>144646.916894317</v>
      </c>
    </row>
    <row r="22" customFormat="false" ht="15" hidden="false" customHeight="false" outlineLevel="0" collapsed="false">
      <c r="B22" s="104" t="n">
        <v>17</v>
      </c>
      <c r="C22" s="37" t="n">
        <f aca="false">(1-ENTRADAS!$C$33)*(1-ENTRADAS!$C$34)^(17-1)</f>
        <v>0.911772114153241</v>
      </c>
      <c r="D22" s="105" t="n">
        <f aca="false">ECONOMIA!C$26*C22/$C$6*(1+ENTRADAS!$C$27)^(17-1)</f>
        <v>16814.6649497312</v>
      </c>
      <c r="E22" s="105" t="n">
        <f aca="false">E21+D22</f>
        <v>180851.581844048</v>
      </c>
      <c r="F22" s="105" t="n">
        <f aca="false">E22-COMPARATIVO!C$31</f>
        <v>151052.881844048</v>
      </c>
      <c r="G22" s="105" t="n">
        <f aca="false">ECONOMIA!D$26*C22/$C$6*(1+ENTRADAS!$C$27)^(17-1)</f>
        <v>16814.6649497312</v>
      </c>
      <c r="H22" s="105" t="n">
        <f aca="false">H21+G22</f>
        <v>180851.581844048</v>
      </c>
      <c r="I22" s="105" t="n">
        <f aca="false">H22-COMPARATIVO!D$31</f>
        <v>151973.681844048</v>
      </c>
      <c r="J22" s="105" t="n">
        <f aca="false">ECONOMIA!E$26*C22/$C$6*(1+ENTRADAS!$C$27)^(17-1)</f>
        <v>16768.4959632354</v>
      </c>
      <c r="K22" s="105" t="n">
        <f aca="false">K21+J22</f>
        <v>180355.00732027</v>
      </c>
      <c r="L22" s="105" t="n">
        <f aca="false">K22-COMPARATIVO!E$31</f>
        <v>161834.66732027</v>
      </c>
      <c r="M22" s="105" t="n">
        <f aca="false">ECONOMIA!F$26*C22/$C$6*(1+ENTRADAS!$C$27)^(17-1)</f>
        <v>16768.4959632354</v>
      </c>
      <c r="N22" s="105" t="n">
        <f aca="false">N21+M22</f>
        <v>180355.00732027</v>
      </c>
      <c r="O22" s="105" t="n">
        <f aca="false">N22-COMPARATIVO!F$31</f>
        <v>160834.66732027</v>
      </c>
      <c r="P22" s="105" t="n">
        <f aca="false">ECONOMIA!G$26*C22/$C$6*(1+ENTRADAS!$C$27)^(17-1)</f>
        <v>14948.4176709765</v>
      </c>
      <c r="Q22" s="105" t="n">
        <f aca="false">Q21+P22</f>
        <v>160778.997972532</v>
      </c>
      <c r="R22" s="105" t="n">
        <f aca="false">Q22-COMPARATIVO!G$31</f>
        <v>139430.087972532</v>
      </c>
      <c r="S22" s="105" t="n">
        <f aca="false">ECONOMIA!H$26*C22/$C$6*(1+ENTRADAS!$C$27)^(17-1)</f>
        <v>12921.5859394595</v>
      </c>
      <c r="T22" s="105" t="n">
        <f aca="false">T21+S22</f>
        <v>138979.234143017</v>
      </c>
      <c r="U22" s="105" t="n">
        <f aca="false">T22-COMPARATIVO!H$31</f>
        <v>124091.594143017</v>
      </c>
      <c r="V22" s="105" t="n">
        <f aca="false">ECONOMIA!I$26*C22/$C$6*(1+ENTRADAS!$C$27)^(17-1)</f>
        <v>16814.6649497312</v>
      </c>
      <c r="W22" s="105" t="n">
        <f aca="false">W21+V22</f>
        <v>180851.581844048</v>
      </c>
      <c r="X22" s="105" t="n">
        <f aca="false">W22-COMPARATIVO!I$31</f>
        <v>159771.041844048</v>
      </c>
      <c r="Y22" s="105" t="n">
        <f aca="false">ECONOMIA!J$26*C22/$C$6*(1+ENTRADAS!$C$27)^(17-1)</f>
        <v>16612.2347640129</v>
      </c>
      <c r="Z22" s="105" t="n">
        <f aca="false">Z21+Y22</f>
        <v>178674.326489298</v>
      </c>
      <c r="AA22" s="105" t="n">
        <f aca="false">Z22-COMPARATIVO!J$31</f>
        <v>157441.326489298</v>
      </c>
      <c r="AB22" s="105" t="n">
        <f aca="false">ECONOMIA!K$26*C22/$C$6*(1+ENTRADAS!$C$27)^(17-1)</f>
        <v>16814.6649497312</v>
      </c>
      <c r="AC22" s="105" t="n">
        <f aca="false">AC21+AB22</f>
        <v>180851.581844048</v>
      </c>
      <c r="AD22" s="105" t="n">
        <f aca="false">AC22-COMPARATIVO!K$31</f>
        <v>161461.581844048</v>
      </c>
    </row>
    <row r="23" customFormat="false" ht="15" hidden="false" customHeight="false" outlineLevel="0" collapsed="false">
      <c r="B23" s="104" t="n">
        <v>18</v>
      </c>
      <c r="C23" s="37" t="n">
        <f aca="false">(1-ENTRADAS!$C$33)*(1-ENTRADAS!$C$34)^(18-1)</f>
        <v>0.907669139639551</v>
      </c>
      <c r="D23" s="105" t="n">
        <f aca="false">ECONOMIA!C$26*C23/$C$6*(1+ENTRADAS!$C$27)^(18-1)</f>
        <v>17910.7288844794</v>
      </c>
      <c r="E23" s="105" t="n">
        <f aca="false">E22+D23</f>
        <v>198762.310728528</v>
      </c>
      <c r="F23" s="105" t="n">
        <f aca="false">E23-COMPARATIVO!C$31</f>
        <v>168963.610728528</v>
      </c>
      <c r="G23" s="105" t="n">
        <f aca="false">ECONOMIA!D$26*C23/$C$6*(1+ENTRADAS!$C$27)^(18-1)</f>
        <v>17910.7288844794</v>
      </c>
      <c r="H23" s="105" t="n">
        <f aca="false">H22+G23</f>
        <v>198762.310728528</v>
      </c>
      <c r="I23" s="105" t="n">
        <f aca="false">H23-COMPARATIVO!D$31</f>
        <v>169884.410728528</v>
      </c>
      <c r="J23" s="105" t="n">
        <f aca="false">ECONOMIA!E$26*C23/$C$6*(1+ENTRADAS!$C$27)^(18-1)</f>
        <v>17861.5503725989</v>
      </c>
      <c r="K23" s="105" t="n">
        <f aca="false">K22+J23</f>
        <v>198216.557692869</v>
      </c>
      <c r="L23" s="105" t="n">
        <f aca="false">K23-COMPARATIVO!E$31</f>
        <v>179696.217692869</v>
      </c>
      <c r="M23" s="105" t="n">
        <f aca="false">ECONOMIA!F$26*C23/$C$6*(1+ENTRADAS!$C$27)^(18-1)</f>
        <v>17861.5503725989</v>
      </c>
      <c r="N23" s="105" t="n">
        <f aca="false">N22+M23</f>
        <v>198216.557692869</v>
      </c>
      <c r="O23" s="105" t="n">
        <f aca="false">N23-COMPARATIVO!F$31</f>
        <v>178696.217692869</v>
      </c>
      <c r="P23" s="105" t="n">
        <f aca="false">ECONOMIA!G$26*C23/$C$6*(1+ENTRADAS!$C$27)^(18-1)</f>
        <v>15922.8302768591</v>
      </c>
      <c r="Q23" s="105" t="n">
        <f aca="false">Q22+P23</f>
        <v>176701.828249391</v>
      </c>
      <c r="R23" s="105" t="n">
        <f aca="false">Q23-COMPARATIVO!G$31</f>
        <v>155352.918249391</v>
      </c>
      <c r="S23" s="105" t="n">
        <f aca="false">ECONOMIA!H$26*C23/$C$6*(1+ENTRADAS!$C$27)^(18-1)</f>
        <v>13763.8795189232</v>
      </c>
      <c r="T23" s="105" t="n">
        <f aca="false">T22+S23</f>
        <v>152743.11366194</v>
      </c>
      <c r="U23" s="105" t="n">
        <f aca="false">T23-COMPARATIVO!H$31</f>
        <v>137855.47366194</v>
      </c>
      <c r="V23" s="105" t="n">
        <f aca="false">ECONOMIA!I$26*C23/$C$6*(1+ENTRADAS!$C$27)^(18-1)</f>
        <v>17910.7288844794</v>
      </c>
      <c r="W23" s="105" t="n">
        <f aca="false">W22+V23</f>
        <v>198762.310728528</v>
      </c>
      <c r="X23" s="105" t="n">
        <f aca="false">W23-COMPARATIVO!I$31</f>
        <v>177681.770728528</v>
      </c>
      <c r="Y23" s="105" t="n">
        <f aca="false">ECONOMIA!J$26*C23/$C$6*(1+ENTRADAS!$C$27)^(18-1)</f>
        <v>17695.103287105</v>
      </c>
      <c r="Z23" s="105" t="n">
        <f aca="false">Z22+Y23</f>
        <v>196369.429776403</v>
      </c>
      <c r="AA23" s="105" t="n">
        <f aca="false">Z23-COMPARATIVO!J$31</f>
        <v>175136.429776403</v>
      </c>
      <c r="AB23" s="105" t="n">
        <f aca="false">ECONOMIA!K$26*C23/$C$6*(1+ENTRADAS!$C$27)^(18-1)</f>
        <v>17910.7288844794</v>
      </c>
      <c r="AC23" s="105" t="n">
        <f aca="false">AC22+AB23</f>
        <v>198762.310728528</v>
      </c>
      <c r="AD23" s="105" t="n">
        <f aca="false">AC23-COMPARATIVO!K$31</f>
        <v>179372.310728528</v>
      </c>
    </row>
    <row r="24" customFormat="false" ht="15" hidden="false" customHeight="false" outlineLevel="0" collapsed="false">
      <c r="B24" s="104" t="n">
        <v>19</v>
      </c>
      <c r="C24" s="37" t="n">
        <f aca="false">(1-ENTRADAS!$C$33)*(1-ENTRADAS!$C$34)^(19-1)</f>
        <v>0.903584628511173</v>
      </c>
      <c r="D24" s="105" t="n">
        <f aca="false">ECONOMIA!C$26*C24/$C$6*(1+ENTRADAS!$C$27)^(19-1)</f>
        <v>19078.2397468142</v>
      </c>
      <c r="E24" s="105" t="n">
        <f aca="false">E23+D24</f>
        <v>217840.550475342</v>
      </c>
      <c r="F24" s="105" t="n">
        <f aca="false">E24-COMPARATIVO!C$31</f>
        <v>188041.850475342</v>
      </c>
      <c r="G24" s="105" t="n">
        <f aca="false">ECONOMIA!D$26*C24/$C$6*(1+ENTRADAS!$C$27)^(19-1)</f>
        <v>19078.2397468142</v>
      </c>
      <c r="H24" s="105" t="n">
        <f aca="false">H23+G24</f>
        <v>217840.550475342</v>
      </c>
      <c r="I24" s="105" t="n">
        <f aca="false">H24-COMPARATIVO!D$31</f>
        <v>188962.650475342</v>
      </c>
      <c r="J24" s="105" t="n">
        <f aca="false">ECONOMIA!E$26*C24/$C$6*(1+ENTRADAS!$C$27)^(19-1)</f>
        <v>19025.8555336367</v>
      </c>
      <c r="K24" s="105" t="n">
        <f aca="false">K23+J24</f>
        <v>217242.413226506</v>
      </c>
      <c r="L24" s="105" t="n">
        <f aca="false">K24-COMPARATIVO!E$31</f>
        <v>198722.073226506</v>
      </c>
      <c r="M24" s="105" t="n">
        <f aca="false">ECONOMIA!F$26*C24/$C$6*(1+ENTRADAS!$C$27)^(19-1)</f>
        <v>19025.8555336367</v>
      </c>
      <c r="N24" s="105" t="n">
        <f aca="false">N23+M24</f>
        <v>217242.413226506</v>
      </c>
      <c r="O24" s="105" t="n">
        <f aca="false">N24-COMPARATIVO!F$31</f>
        <v>197722.073226506</v>
      </c>
      <c r="P24" s="105" t="n">
        <f aca="false">ECONOMIA!G$26*C24/$C$6*(1+ENTRADAS!$C$27)^(19-1)</f>
        <v>16960.7599684562</v>
      </c>
      <c r="Q24" s="105" t="n">
        <f aca="false">Q23+P24</f>
        <v>193662.588217847</v>
      </c>
      <c r="R24" s="105" t="n">
        <f aca="false">Q24-COMPARATIVO!G$31</f>
        <v>172313.678217847</v>
      </c>
      <c r="S24" s="105" t="n">
        <f aca="false">ECONOMIA!H$26*C24/$C$6*(1+ENTRADAS!$C$27)^(19-1)</f>
        <v>14661.0780053642</v>
      </c>
      <c r="T24" s="105" t="n">
        <f aca="false">T23+S24</f>
        <v>167404.191667305</v>
      </c>
      <c r="U24" s="105" t="n">
        <f aca="false">T24-COMPARATIVO!H$31</f>
        <v>152516.551667305</v>
      </c>
      <c r="V24" s="105" t="n">
        <f aca="false">ECONOMIA!I$26*C24/$C$6*(1+ENTRADAS!$C$27)^(19-1)</f>
        <v>19078.2397468142</v>
      </c>
      <c r="W24" s="105" t="n">
        <f aca="false">W23+V24</f>
        <v>217840.550475342</v>
      </c>
      <c r="X24" s="105" t="n">
        <f aca="false">W24-COMPARATIVO!I$31</f>
        <v>196760.010475342</v>
      </c>
      <c r="Y24" s="105" t="n">
        <f aca="false">ECONOMIA!J$26*C24/$C$6*(1+ENTRADAS!$C$27)^(19-1)</f>
        <v>18848.558594875</v>
      </c>
      <c r="Z24" s="105" t="n">
        <f aca="false">Z23+Y24</f>
        <v>215217.988371278</v>
      </c>
      <c r="AA24" s="105" t="n">
        <f aca="false">Z24-COMPARATIVO!J$31</f>
        <v>193984.988371278</v>
      </c>
      <c r="AB24" s="105" t="n">
        <f aca="false">ECONOMIA!K$26*C24/$C$6*(1+ENTRADAS!$C$27)^(19-1)</f>
        <v>19078.2397468142</v>
      </c>
      <c r="AC24" s="105" t="n">
        <f aca="false">AC23+AB24</f>
        <v>217840.550475342</v>
      </c>
      <c r="AD24" s="105" t="n">
        <f aca="false">AC24-COMPARATIVO!K$31</f>
        <v>198450.550475342</v>
      </c>
    </row>
    <row r="25" customFormat="false" ht="15" hidden="false" customHeight="false" outlineLevel="0" collapsed="false">
      <c r="B25" s="106" t="n">
        <v>20</v>
      </c>
      <c r="C25" s="107" t="n">
        <f aca="false">(1-ENTRADAS!$C$33)*(1-ENTRADAS!$C$34)^(20-1)</f>
        <v>0.899518497682873</v>
      </c>
      <c r="D25" s="108" t="n">
        <f aca="false">ECONOMIA!C$26*C25/$C$6*(1+ENTRADAS!$C$27)^(20-1)</f>
        <v>20321.8548047103</v>
      </c>
      <c r="E25" s="108" t="n">
        <f aca="false">E24+D25</f>
        <v>238162.405280052</v>
      </c>
      <c r="F25" s="108" t="n">
        <f aca="false">E25-COMPARATIVO!C$31</f>
        <v>208363.705280052</v>
      </c>
      <c r="G25" s="108" t="n">
        <f aca="false">ECONOMIA!D$26*C25/$C$6*(1+ENTRADAS!$C$27)^(20-1)</f>
        <v>20321.8548047103</v>
      </c>
      <c r="H25" s="108" t="n">
        <f aca="false">H24+G25</f>
        <v>238162.405280052</v>
      </c>
      <c r="I25" s="108" t="n">
        <f aca="false">H25-COMPARATIVO!D$31</f>
        <v>209284.505280052</v>
      </c>
      <c r="J25" s="108" t="n">
        <f aca="false">ECONOMIA!E$26*C25/$C$6*(1+ENTRADAS!$C$27)^(20-1)</f>
        <v>20266.0559265968</v>
      </c>
      <c r="K25" s="108" t="n">
        <f aca="false">K24+J25</f>
        <v>237508.469153103</v>
      </c>
      <c r="L25" s="108" t="n">
        <f aca="false">K25-COMPARATIVO!E$31</f>
        <v>218988.129153103</v>
      </c>
      <c r="M25" s="108" t="n">
        <f aca="false">ECONOMIA!F$26*C25/$C$6*(1+ENTRADAS!$C$27)^(20-1)</f>
        <v>20266.0559265968</v>
      </c>
      <c r="N25" s="108" t="n">
        <f aca="false">N24+M25</f>
        <v>237508.469153103</v>
      </c>
      <c r="O25" s="108" t="n">
        <f aca="false">N25-COMPARATIVO!F$31</f>
        <v>217988.129153103</v>
      </c>
      <c r="P25" s="108" t="n">
        <f aca="false">ECONOMIA!G$26*C25/$C$6*(1+ENTRADAS!$C$27)^(20-1)</f>
        <v>18066.347107</v>
      </c>
      <c r="Q25" s="108" t="n">
        <f aca="false">Q24+P25</f>
        <v>211728.935324847</v>
      </c>
      <c r="R25" s="108" t="n">
        <f aca="false">Q25-COMPARATIVO!G$31</f>
        <v>190380.025324847</v>
      </c>
      <c r="S25" s="108" t="n">
        <f aca="false">ECONOMIA!H$26*C25/$C$6*(1+ENTRADAS!$C$27)^(20-1)</f>
        <v>15616.7603751439</v>
      </c>
      <c r="T25" s="108" t="n">
        <f aca="false">T24+S25</f>
        <v>183020.952042449</v>
      </c>
      <c r="U25" s="108" t="n">
        <f aca="false">T25-COMPARATIVO!H$31</f>
        <v>168133.312042449</v>
      </c>
      <c r="V25" s="108" t="n">
        <f aca="false">ECONOMIA!I$26*C25/$C$6*(1+ENTRADAS!$C$27)^(20-1)</f>
        <v>20321.8548047103</v>
      </c>
      <c r="W25" s="108" t="n">
        <f aca="false">W24+V25</f>
        <v>238162.405280052</v>
      </c>
      <c r="X25" s="108" t="n">
        <f aca="false">W25-COMPARATIVO!I$31</f>
        <v>217081.865280052</v>
      </c>
      <c r="Y25" s="108" t="n">
        <f aca="false">ECONOMIA!J$26*C25/$C$6*(1+ENTRADAS!$C$27)^(20-1)</f>
        <v>20077.2018868819</v>
      </c>
      <c r="Z25" s="108" t="n">
        <f aca="false">Z24+Y25</f>
        <v>235295.19025816</v>
      </c>
      <c r="AA25" s="108" t="n">
        <f aca="false">Z25-COMPARATIVO!J$31</f>
        <v>214062.19025816</v>
      </c>
      <c r="AB25" s="108" t="n">
        <f aca="false">ECONOMIA!K$26*C25/$C$6*(1+ENTRADAS!$C$27)^(20-1)</f>
        <v>20321.8548047103</v>
      </c>
      <c r="AC25" s="108" t="n">
        <f aca="false">AC24+AB25</f>
        <v>238162.405280052</v>
      </c>
      <c r="AD25" s="108" t="n">
        <f aca="false">AC25-COMPARATIVO!K$31</f>
        <v>218772.405280052</v>
      </c>
    </row>
    <row r="27" customFormat="false" ht="15" hidden="false" customHeight="false" outlineLevel="0" collapsed="false">
      <c r="B27" s="2" t="s">
        <v>845</v>
      </c>
    </row>
    <row r="28" customFormat="false" ht="15" hidden="false" customHeight="false" outlineLevel="0" collapsed="false">
      <c r="B28" s="2" t="s">
        <v>846</v>
      </c>
    </row>
    <row r="29" customFormat="false" ht="15" hidden="false" customHeight="false" outlineLevel="0" collapsed="false">
      <c r="B29" s="2" t="s">
        <v>847</v>
      </c>
    </row>
    <row r="30" customFormat="false" ht="15" hidden="false" customHeight="false" outlineLevel="0" collapsed="false">
      <c r="B30" s="5" t="s">
        <v>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849</v>
      </c>
    </row>
    <row r="2" customFormat="false" ht="15" hidden="false" customHeight="false" outlineLevel="0" collapsed="false">
      <c r="A2" s="2" t="s">
        <v>850</v>
      </c>
    </row>
    <row r="4" customFormat="false" ht="15" hidden="false" customHeight="false" outlineLevel="0" collapsed="false">
      <c r="B4" s="21" t="s">
        <v>851</v>
      </c>
      <c r="C4" s="16" t="n">
        <v>6.2</v>
      </c>
      <c r="D4" s="2" t="s">
        <v>852</v>
      </c>
    </row>
    <row r="6" customFormat="false" ht="23.85" hidden="false" customHeight="false" outlineLevel="0" collapsed="false">
      <c r="B6" s="17" t="s">
        <v>265</v>
      </c>
      <c r="C6" s="17" t="s">
        <v>853</v>
      </c>
      <c r="D6" s="17" t="s">
        <v>854</v>
      </c>
      <c r="E6" s="17" t="s">
        <v>855</v>
      </c>
      <c r="F6" s="17" t="s">
        <v>856</v>
      </c>
      <c r="G6" s="17" t="s">
        <v>857</v>
      </c>
      <c r="H6" s="17" t="s">
        <v>858</v>
      </c>
      <c r="I6" s="17" t="s">
        <v>859</v>
      </c>
    </row>
    <row r="7" customFormat="false" ht="15" hidden="false" customHeight="false" outlineLevel="0" collapsed="false">
      <c r="B7" s="18" t="s">
        <v>267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268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269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270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271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272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273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274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275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276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277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278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310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860</v>
      </c>
    </row>
    <row r="22" customFormat="false" ht="15" hidden="false" customHeight="false" outlineLevel="0" collapsed="false">
      <c r="B22" s="2" t="s">
        <v>861</v>
      </c>
    </row>
    <row r="23" customFormat="false" ht="15" hidden="false" customHeight="false" outlineLevel="0" collapsed="false">
      <c r="B23" s="2" t="s">
        <v>862</v>
      </c>
    </row>
    <row r="24" customFormat="false" ht="15" hidden="false" customHeight="false" outlineLevel="0" collapsed="false">
      <c r="B24" s="2" t="s">
        <v>863</v>
      </c>
    </row>
    <row r="25" customFormat="false" ht="15" hidden="false" customHeight="false" outlineLevel="0" collapsed="false">
      <c r="B25" s="2" t="s">
        <v>864</v>
      </c>
    </row>
    <row r="26" customFormat="false" ht="15" hidden="false" customHeight="false" outlineLevel="0" collapsed="false">
      <c r="B26" s="2" t="s">
        <v>865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866</v>
      </c>
    </row>
    <row r="29" customFormat="false" ht="15" hidden="false" customHeight="false" outlineLevel="0" collapsed="false">
      <c r="B29" s="2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868</v>
      </c>
    </row>
    <row r="2" customFormat="false" ht="15" hidden="false" customHeight="false" outlineLevel="0" collapsed="false">
      <c r="A2" s="2" t="s">
        <v>869</v>
      </c>
    </row>
    <row r="4" customFormat="false" ht="15" hidden="false" customHeight="false" outlineLevel="0" collapsed="false">
      <c r="B4" s="17" t="s">
        <v>870</v>
      </c>
      <c r="C4" s="17" t="s">
        <v>871</v>
      </c>
      <c r="D4" s="17" t="s">
        <v>872</v>
      </c>
      <c r="E4" s="17" t="s">
        <v>873</v>
      </c>
    </row>
    <row r="5" customFormat="false" ht="15" hidden="false" customHeight="false" outlineLevel="0" collapsed="false">
      <c r="B5" s="8"/>
      <c r="C5" s="7" t="s">
        <v>874</v>
      </c>
      <c r="D5" s="8"/>
      <c r="E5" s="8"/>
    </row>
    <row r="6" customFormat="false" ht="22.35" hidden="false" customHeight="false" outlineLevel="0" collapsed="false">
      <c r="B6" s="4" t="n">
        <v>1</v>
      </c>
      <c r="C6" s="109" t="s">
        <v>875</v>
      </c>
      <c r="D6" s="9" t="s">
        <v>876</v>
      </c>
      <c r="E6" s="110"/>
    </row>
    <row r="7" customFormat="false" ht="22.35" hidden="false" customHeight="false" outlineLevel="0" collapsed="false">
      <c r="B7" s="4" t="n">
        <v>2</v>
      </c>
      <c r="C7" s="109" t="s">
        <v>877</v>
      </c>
      <c r="D7" s="9" t="s">
        <v>876</v>
      </c>
      <c r="E7" s="110"/>
    </row>
    <row r="8" customFormat="false" ht="22.35" hidden="false" customHeight="false" outlineLevel="0" collapsed="false">
      <c r="B8" s="4" t="n">
        <v>3</v>
      </c>
      <c r="C8" s="109" t="s">
        <v>878</v>
      </c>
      <c r="D8" s="9" t="s">
        <v>876</v>
      </c>
      <c r="E8" s="110"/>
    </row>
    <row r="9" customFormat="false" ht="22.35" hidden="false" customHeight="false" outlineLevel="0" collapsed="false">
      <c r="B9" s="4" t="n">
        <v>4</v>
      </c>
      <c r="C9" s="109" t="s">
        <v>879</v>
      </c>
      <c r="D9" s="9" t="s">
        <v>876</v>
      </c>
      <c r="E9" s="110"/>
    </row>
    <row r="10" customFormat="false" ht="32.8" hidden="false" customHeight="false" outlineLevel="0" collapsed="false">
      <c r="B10" s="4" t="n">
        <v>5</v>
      </c>
      <c r="C10" s="109" t="s">
        <v>880</v>
      </c>
      <c r="D10" s="9" t="s">
        <v>876</v>
      </c>
      <c r="E10" s="110"/>
    </row>
    <row r="11" customFormat="false" ht="22.35" hidden="false" customHeight="false" outlineLevel="0" collapsed="false">
      <c r="B11" s="4" t="n">
        <v>6</v>
      </c>
      <c r="C11" s="109" t="s">
        <v>881</v>
      </c>
      <c r="D11" s="9" t="s">
        <v>876</v>
      </c>
      <c r="E11" s="110"/>
    </row>
    <row r="12" customFormat="false" ht="22.35" hidden="false" customHeight="false" outlineLevel="0" collapsed="false">
      <c r="B12" s="4" t="n">
        <v>7</v>
      </c>
      <c r="C12" s="109" t="s">
        <v>882</v>
      </c>
      <c r="D12" s="9" t="s">
        <v>876</v>
      </c>
      <c r="E12" s="110"/>
    </row>
    <row r="13" customFormat="false" ht="15" hidden="false" customHeight="false" outlineLevel="0" collapsed="false">
      <c r="B13" s="4" t="n">
        <v>8</v>
      </c>
      <c r="C13" s="109" t="s">
        <v>883</v>
      </c>
      <c r="D13" s="9" t="s">
        <v>876</v>
      </c>
      <c r="E13" s="110"/>
    </row>
    <row r="14" customFormat="false" ht="15" hidden="false" customHeight="false" outlineLevel="0" collapsed="false">
      <c r="B14" s="4" t="n">
        <v>9</v>
      </c>
      <c r="C14" s="109" t="s">
        <v>884</v>
      </c>
      <c r="D14" s="9" t="s">
        <v>876</v>
      </c>
      <c r="E14" s="110"/>
    </row>
    <row r="15" customFormat="false" ht="22.35" hidden="false" customHeight="false" outlineLevel="0" collapsed="false">
      <c r="B15" s="4" t="n">
        <v>10</v>
      </c>
      <c r="C15" s="109" t="s">
        <v>885</v>
      </c>
      <c r="D15" s="9" t="s">
        <v>876</v>
      </c>
      <c r="E15" s="110"/>
    </row>
    <row r="16" customFormat="false" ht="22.35" hidden="false" customHeight="false" outlineLevel="0" collapsed="false">
      <c r="B16" s="4" t="n">
        <v>11</v>
      </c>
      <c r="C16" s="109" t="s">
        <v>886</v>
      </c>
      <c r="D16" s="9" t="s">
        <v>876</v>
      </c>
      <c r="E16" s="110"/>
    </row>
    <row r="17" customFormat="false" ht="15" hidden="false" customHeight="false" outlineLevel="0" collapsed="false">
      <c r="B17" s="8"/>
      <c r="C17" s="7" t="s">
        <v>887</v>
      </c>
      <c r="D17" s="8"/>
      <c r="E17" s="8"/>
    </row>
    <row r="18" customFormat="false" ht="22.35" hidden="false" customHeight="false" outlineLevel="0" collapsed="false">
      <c r="B18" s="4" t="n">
        <v>12</v>
      </c>
      <c r="C18" s="109" t="s">
        <v>888</v>
      </c>
      <c r="D18" s="9" t="s">
        <v>876</v>
      </c>
      <c r="E18" s="110"/>
    </row>
    <row r="19" customFormat="false" ht="22.35" hidden="false" customHeight="false" outlineLevel="0" collapsed="false">
      <c r="B19" s="4" t="n">
        <v>13</v>
      </c>
      <c r="C19" s="109" t="s">
        <v>889</v>
      </c>
      <c r="D19" s="9" t="s">
        <v>876</v>
      </c>
      <c r="E19" s="110"/>
    </row>
    <row r="20" customFormat="false" ht="32.8" hidden="false" customHeight="false" outlineLevel="0" collapsed="false">
      <c r="B20" s="4" t="n">
        <v>14</v>
      </c>
      <c r="C20" s="109" t="s">
        <v>890</v>
      </c>
      <c r="D20" s="9" t="s">
        <v>876</v>
      </c>
      <c r="E20" s="110"/>
    </row>
    <row r="21" customFormat="false" ht="22.35" hidden="false" customHeight="false" outlineLevel="0" collapsed="false">
      <c r="B21" s="4" t="n">
        <v>15</v>
      </c>
      <c r="C21" s="109" t="s">
        <v>891</v>
      </c>
      <c r="D21" s="9" t="s">
        <v>876</v>
      </c>
      <c r="E21" s="110"/>
    </row>
    <row r="22" customFormat="false" ht="22.35" hidden="false" customHeight="false" outlineLevel="0" collapsed="false">
      <c r="B22" s="4" t="n">
        <v>16</v>
      </c>
      <c r="C22" s="109" t="s">
        <v>892</v>
      </c>
      <c r="D22" s="9" t="s">
        <v>876</v>
      </c>
      <c r="E22" s="110"/>
    </row>
    <row r="23" customFormat="false" ht="35.05" hidden="false" customHeight="false" outlineLevel="0" collapsed="false">
      <c r="B23" s="4" t="n">
        <v>17</v>
      </c>
      <c r="C23" s="111" t="s">
        <v>893</v>
      </c>
      <c r="D23" s="9" t="s">
        <v>876</v>
      </c>
      <c r="E23" s="110"/>
    </row>
    <row r="25" customFormat="false" ht="15" hidden="false" customHeight="false" outlineLevel="0" collapsed="false">
      <c r="B25" s="8"/>
      <c r="C25" s="7" t="s">
        <v>894</v>
      </c>
      <c r="D25" s="8"/>
      <c r="E25" s="8"/>
    </row>
    <row r="26" customFormat="false" ht="22.35" hidden="false" customHeight="false" outlineLevel="0" collapsed="false">
      <c r="B26" s="4" t="n">
        <v>18</v>
      </c>
      <c r="C26" s="109" t="s">
        <v>895</v>
      </c>
      <c r="D26" s="9" t="s">
        <v>876</v>
      </c>
      <c r="E26" s="110"/>
    </row>
    <row r="27" customFormat="false" ht="22.35" hidden="false" customHeight="false" outlineLevel="0" collapsed="false">
      <c r="B27" s="4" t="n">
        <v>19</v>
      </c>
      <c r="C27" s="109" t="s">
        <v>896</v>
      </c>
      <c r="D27" s="9" t="s">
        <v>876</v>
      </c>
      <c r="E27" s="110"/>
    </row>
    <row r="28" customFormat="false" ht="22.35" hidden="false" customHeight="false" outlineLevel="0" collapsed="false">
      <c r="B28" s="4" t="n">
        <v>20</v>
      </c>
      <c r="C28" s="109" t="s">
        <v>897</v>
      </c>
      <c r="D28" s="9" t="s">
        <v>876</v>
      </c>
      <c r="E28" s="110"/>
    </row>
    <row r="29" customFormat="false" ht="22.35" hidden="false" customHeight="false" outlineLevel="0" collapsed="false">
      <c r="B29" s="4" t="n">
        <v>21</v>
      </c>
      <c r="C29" s="109" t="s">
        <v>898</v>
      </c>
      <c r="D29" s="9" t="s">
        <v>876</v>
      </c>
      <c r="E29" s="110"/>
    </row>
    <row r="30" customFormat="false" ht="35.05" hidden="false" customHeight="false" outlineLevel="0" collapsed="false">
      <c r="B30" s="4" t="n">
        <v>22</v>
      </c>
      <c r="C30" s="111" t="s">
        <v>899</v>
      </c>
      <c r="D30" s="9" t="s">
        <v>876</v>
      </c>
      <c r="E30" s="110"/>
    </row>
    <row r="32" customFormat="false" ht="15" hidden="false" customHeight="false" outlineLevel="0" collapsed="false">
      <c r="B32" s="8"/>
      <c r="C32" s="7" t="s">
        <v>900</v>
      </c>
      <c r="D32" s="8"/>
      <c r="E32" s="8"/>
    </row>
    <row r="33" customFormat="false" ht="35.05" hidden="false" customHeight="false" outlineLevel="0" collapsed="false">
      <c r="B33" s="4" t="n">
        <v>23</v>
      </c>
      <c r="C33" s="111" t="s">
        <v>901</v>
      </c>
      <c r="D33" s="9" t="s">
        <v>876</v>
      </c>
      <c r="E33" s="110"/>
    </row>
    <row r="34" customFormat="false" ht="22.35" hidden="false" customHeight="false" outlineLevel="0" collapsed="false">
      <c r="B34" s="4" t="n">
        <v>24</v>
      </c>
      <c r="C34" s="109" t="s">
        <v>902</v>
      </c>
      <c r="D34" s="9" t="s">
        <v>876</v>
      </c>
      <c r="E34" s="110"/>
    </row>
    <row r="35" customFormat="false" ht="22.35" hidden="false" customHeight="false" outlineLevel="0" collapsed="false">
      <c r="B35" s="4" t="n">
        <v>25</v>
      </c>
      <c r="C35" s="109" t="s">
        <v>903</v>
      </c>
      <c r="D35" s="9" t="s">
        <v>876</v>
      </c>
      <c r="E35" s="110"/>
    </row>
    <row r="36" customFormat="false" ht="22.35" hidden="false" customHeight="false" outlineLevel="0" collapsed="false">
      <c r="B36" s="4" t="n">
        <v>26</v>
      </c>
      <c r="C36" s="109" t="s">
        <v>904</v>
      </c>
      <c r="D36" s="9" t="s">
        <v>876</v>
      </c>
      <c r="E36" s="110"/>
    </row>
    <row r="38" customFormat="false" ht="15" hidden="false" customHeight="false" outlineLevel="0" collapsed="false">
      <c r="B38" s="8"/>
      <c r="C38" s="7" t="s">
        <v>905</v>
      </c>
      <c r="D38" s="8"/>
      <c r="E38" s="8"/>
    </row>
    <row r="39" customFormat="false" ht="32.8" hidden="false" customHeight="false" outlineLevel="0" collapsed="false">
      <c r="B39" s="4" t="n">
        <v>27</v>
      </c>
      <c r="C39" s="109" t="s">
        <v>906</v>
      </c>
      <c r="D39" s="9" t="s">
        <v>876</v>
      </c>
      <c r="E39" s="110"/>
    </row>
    <row r="40" customFormat="false" ht="22.35" hidden="false" customHeight="false" outlineLevel="0" collapsed="false">
      <c r="B40" s="4" t="n">
        <v>28</v>
      </c>
      <c r="C40" s="109" t="s">
        <v>907</v>
      </c>
      <c r="D40" s="9" t="s">
        <v>876</v>
      </c>
      <c r="E40" s="110"/>
    </row>
    <row r="41" customFormat="false" ht="22.35" hidden="false" customHeight="false" outlineLevel="0" collapsed="false">
      <c r="B41" s="4" t="n">
        <v>29</v>
      </c>
      <c r="C41" s="109" t="s">
        <v>908</v>
      </c>
      <c r="D41" s="9" t="s">
        <v>876</v>
      </c>
      <c r="E41" s="110"/>
    </row>
    <row r="42" customFormat="false" ht="22.35" hidden="false" customHeight="false" outlineLevel="0" collapsed="false">
      <c r="B42" s="4" t="n">
        <v>30</v>
      </c>
      <c r="C42" s="109" t="s">
        <v>909</v>
      </c>
      <c r="D42" s="9" t="s">
        <v>876</v>
      </c>
      <c r="E42" s="110"/>
    </row>
    <row r="43" customFormat="false" ht="32.8" hidden="false" customHeight="false" outlineLevel="0" collapsed="false">
      <c r="B43" s="4" t="n">
        <v>31</v>
      </c>
      <c r="C43" s="109" t="s">
        <v>910</v>
      </c>
      <c r="D43" s="9" t="s">
        <v>876</v>
      </c>
      <c r="E43" s="110"/>
    </row>
    <row r="44" customFormat="false" ht="32.8" hidden="false" customHeight="false" outlineLevel="0" collapsed="false">
      <c r="B44" s="4" t="n">
        <v>32</v>
      </c>
      <c r="C44" s="109" t="s">
        <v>911</v>
      </c>
      <c r="D44" s="9" t="s">
        <v>876</v>
      </c>
      <c r="E44" s="110"/>
    </row>
    <row r="45" customFormat="false" ht="32.8" hidden="false" customHeight="false" outlineLevel="0" collapsed="false">
      <c r="B45" s="4" t="n">
        <v>33</v>
      </c>
      <c r="C45" s="109" t="s">
        <v>912</v>
      </c>
      <c r="D45" s="9" t="s">
        <v>876</v>
      </c>
      <c r="E45" s="110"/>
    </row>
    <row r="46" customFormat="false" ht="22.35" hidden="false" customHeight="false" outlineLevel="0" collapsed="false">
      <c r="B46" s="4" t="n">
        <v>34</v>
      </c>
      <c r="C46" s="109" t="s">
        <v>913</v>
      </c>
      <c r="D46" s="9" t="s">
        <v>876</v>
      </c>
      <c r="E46" s="110"/>
    </row>
    <row r="47" customFormat="false" ht="22.35" hidden="false" customHeight="false" outlineLevel="0" collapsed="false">
      <c r="B47" s="4" t="n">
        <v>35</v>
      </c>
      <c r="C47" s="109" t="s">
        <v>914</v>
      </c>
      <c r="D47" s="9" t="s">
        <v>876</v>
      </c>
      <c r="E47" s="110"/>
    </row>
    <row r="48" customFormat="false" ht="22.35" hidden="false" customHeight="false" outlineLevel="0" collapsed="false">
      <c r="B48" s="4" t="n">
        <v>36</v>
      </c>
      <c r="C48" s="109" t="s">
        <v>915</v>
      </c>
      <c r="D48" s="9" t="s">
        <v>876</v>
      </c>
      <c r="E48" s="110"/>
    </row>
    <row r="49" customFormat="false" ht="22.35" hidden="false" customHeight="false" outlineLevel="0" collapsed="false">
      <c r="B49" s="4" t="n">
        <v>37</v>
      </c>
      <c r="C49" s="109" t="s">
        <v>916</v>
      </c>
      <c r="D49" s="9" t="s">
        <v>876</v>
      </c>
      <c r="E49" s="110"/>
    </row>
    <row r="50" customFormat="false" ht="22.35" hidden="false" customHeight="false" outlineLevel="0" collapsed="false">
      <c r="B50" s="4" t="n">
        <v>38</v>
      </c>
      <c r="C50" s="109" t="s">
        <v>917</v>
      </c>
      <c r="D50" s="9" t="s">
        <v>876</v>
      </c>
      <c r="E50" s="110"/>
    </row>
    <row r="51" customFormat="false" ht="15" hidden="false" customHeight="false" outlineLevel="0" collapsed="false">
      <c r="B51" s="4" t="n">
        <v>39</v>
      </c>
      <c r="C51" s="109" t="s">
        <v>918</v>
      </c>
      <c r="D51" s="9" t="s">
        <v>876</v>
      </c>
      <c r="E51" s="110"/>
    </row>
    <row r="53" customFormat="false" ht="15" hidden="false" customHeight="false" outlineLevel="0" collapsed="false">
      <c r="B53" s="8"/>
      <c r="C53" s="7" t="s">
        <v>919</v>
      </c>
      <c r="D53" s="8"/>
      <c r="E53" s="8"/>
    </row>
    <row r="54" customFormat="false" ht="15" hidden="false" customHeight="false" outlineLevel="0" collapsed="false">
      <c r="B54" s="4" t="n">
        <v>40</v>
      </c>
      <c r="C54" s="111" t="s">
        <v>920</v>
      </c>
      <c r="D54" s="9" t="s">
        <v>876</v>
      </c>
      <c r="E54" s="110"/>
    </row>
    <row r="55" customFormat="false" ht="15" hidden="false" customHeight="false" outlineLevel="0" collapsed="false">
      <c r="B55" s="4" t="n">
        <v>41</v>
      </c>
      <c r="C55" s="111" t="s">
        <v>921</v>
      </c>
      <c r="D55" s="9" t="s">
        <v>876</v>
      </c>
      <c r="E55" s="110"/>
    </row>
    <row r="56" customFormat="false" ht="15" hidden="false" customHeight="false" outlineLevel="0" collapsed="false">
      <c r="B56" s="4" t="n">
        <v>42</v>
      </c>
      <c r="C56" s="111" t="s">
        <v>922</v>
      </c>
      <c r="D56" s="9" t="s">
        <v>876</v>
      </c>
      <c r="E56" s="110"/>
    </row>
    <row r="57" customFormat="false" ht="15" hidden="false" customHeight="false" outlineLevel="0" collapsed="false">
      <c r="B57" s="4" t="n">
        <v>43</v>
      </c>
      <c r="C57" s="111" t="s">
        <v>923</v>
      </c>
      <c r="D57" s="9" t="s">
        <v>876</v>
      </c>
      <c r="E57" s="110"/>
    </row>
    <row r="58" customFormat="false" ht="15" hidden="false" customHeight="false" outlineLevel="0" collapsed="false">
      <c r="B58" s="4" t="n">
        <v>44</v>
      </c>
      <c r="C58" s="111" t="s">
        <v>924</v>
      </c>
      <c r="D58" s="9" t="s">
        <v>876</v>
      </c>
      <c r="E58" s="110"/>
    </row>
    <row r="59" customFormat="false" ht="15" hidden="false" customHeight="false" outlineLevel="0" collapsed="false">
      <c r="B59" s="4" t="n">
        <v>45</v>
      </c>
      <c r="C59" s="111" t="s">
        <v>925</v>
      </c>
      <c r="D59" s="9" t="s">
        <v>876</v>
      </c>
      <c r="E59" s="110"/>
    </row>
    <row r="60" customFormat="false" ht="15" hidden="false" customHeight="false" outlineLevel="0" collapsed="false">
      <c r="B60" s="4" t="n">
        <v>46</v>
      </c>
      <c r="C60" s="111" t="s">
        <v>926</v>
      </c>
      <c r="D60" s="9" t="s">
        <v>876</v>
      </c>
      <c r="E60" s="110"/>
    </row>
    <row r="61" customFormat="false" ht="15" hidden="false" customHeight="false" outlineLevel="0" collapsed="false">
      <c r="B61" s="4" t="n">
        <v>47</v>
      </c>
      <c r="C61" s="111" t="s">
        <v>927</v>
      </c>
      <c r="D61" s="9" t="s">
        <v>876</v>
      </c>
      <c r="E61" s="110"/>
    </row>
    <row r="62" customFormat="false" ht="15" hidden="false" customHeight="false" outlineLevel="0" collapsed="false">
      <c r="B62" s="4" t="n">
        <v>48</v>
      </c>
      <c r="C62" s="111" t="s">
        <v>928</v>
      </c>
      <c r="D62" s="9" t="s">
        <v>876</v>
      </c>
      <c r="E62" s="110"/>
    </row>
    <row r="64" customFormat="false" ht="15" hidden="false" customHeight="false" outlineLevel="0" collapsed="false">
      <c r="B64" s="8"/>
      <c r="C64" s="7" t="s">
        <v>929</v>
      </c>
      <c r="D64" s="8"/>
      <c r="E64" s="8"/>
    </row>
    <row r="65" customFormat="false" ht="15" hidden="false" customHeight="false" outlineLevel="0" collapsed="false">
      <c r="B65" s="4" t="n">
        <v>49</v>
      </c>
      <c r="C65" s="111" t="s">
        <v>930</v>
      </c>
      <c r="D65" s="9" t="s">
        <v>876</v>
      </c>
      <c r="E65" s="110"/>
    </row>
    <row r="66" customFormat="false" ht="15" hidden="false" customHeight="false" outlineLevel="0" collapsed="false">
      <c r="B66" s="4" t="n">
        <v>50</v>
      </c>
      <c r="C66" s="111" t="s">
        <v>931</v>
      </c>
      <c r="D66" s="9" t="s">
        <v>876</v>
      </c>
      <c r="E66" s="110"/>
    </row>
    <row r="67" customFormat="false" ht="15" hidden="false" customHeight="false" outlineLevel="0" collapsed="false">
      <c r="B67" s="4" t="n">
        <v>51</v>
      </c>
      <c r="C67" s="111" t="s">
        <v>932</v>
      </c>
      <c r="D67" s="9" t="s">
        <v>876</v>
      </c>
      <c r="E67" s="110"/>
    </row>
    <row r="68" customFormat="false" ht="15" hidden="false" customHeight="false" outlineLevel="0" collapsed="false">
      <c r="B68" s="4" t="n">
        <v>52</v>
      </c>
      <c r="C68" s="111" t="s">
        <v>933</v>
      </c>
      <c r="D68" s="9" t="s">
        <v>876</v>
      </c>
      <c r="E68" s="110"/>
    </row>
    <row r="69" customFormat="false" ht="15" hidden="false" customHeight="false" outlineLevel="0" collapsed="false">
      <c r="B69" s="4" t="n">
        <v>53</v>
      </c>
      <c r="C69" s="111" t="s">
        <v>934</v>
      </c>
      <c r="D69" s="9" t="s">
        <v>876</v>
      </c>
      <c r="E69" s="110"/>
    </row>
    <row r="70" customFormat="false" ht="15" hidden="false" customHeight="false" outlineLevel="0" collapsed="false">
      <c r="B70" s="4" t="n">
        <v>54</v>
      </c>
      <c r="C70" s="111" t="s">
        <v>935</v>
      </c>
      <c r="D70" s="9" t="s">
        <v>876</v>
      </c>
      <c r="E70" s="110"/>
    </row>
    <row r="71" customFormat="false" ht="15" hidden="false" customHeight="false" outlineLevel="0" collapsed="false">
      <c r="B71" s="4" t="n">
        <v>55</v>
      </c>
      <c r="C71" s="111" t="s">
        <v>936</v>
      </c>
      <c r="D71" s="9" t="s">
        <v>876</v>
      </c>
      <c r="E71" s="110"/>
    </row>
    <row r="73" customFormat="false" ht="15" hidden="false" customHeight="false" outlineLevel="0" collapsed="false">
      <c r="B73" s="8"/>
      <c r="C73" s="7" t="s">
        <v>937</v>
      </c>
      <c r="D73" s="8"/>
      <c r="E73" s="8"/>
    </row>
    <row r="74" customFormat="false" ht="15" hidden="false" customHeight="false" outlineLevel="0" collapsed="false">
      <c r="B74" s="4" t="n">
        <v>56</v>
      </c>
      <c r="C74" s="111" t="s">
        <v>938</v>
      </c>
      <c r="D74" s="9" t="s">
        <v>876</v>
      </c>
      <c r="E74" s="110"/>
    </row>
    <row r="75" customFormat="false" ht="23.85" hidden="false" customHeight="false" outlineLevel="0" collapsed="false">
      <c r="B75" s="4" t="n">
        <v>57</v>
      </c>
      <c r="C75" s="111" t="s">
        <v>939</v>
      </c>
      <c r="D75" s="9" t="s">
        <v>876</v>
      </c>
      <c r="E75" s="110"/>
    </row>
    <row r="76" customFormat="false" ht="15" hidden="false" customHeight="false" outlineLevel="0" collapsed="false">
      <c r="B76" s="4" t="n">
        <v>58</v>
      </c>
      <c r="C76" s="111" t="s">
        <v>940</v>
      </c>
      <c r="D76" s="9" t="s">
        <v>876</v>
      </c>
      <c r="E76" s="110"/>
    </row>
    <row r="77" customFormat="false" ht="15" hidden="false" customHeight="false" outlineLevel="0" collapsed="false">
      <c r="B77" s="4" t="n">
        <v>59</v>
      </c>
      <c r="C77" s="111" t="s">
        <v>941</v>
      </c>
      <c r="D77" s="9" t="s">
        <v>876</v>
      </c>
      <c r="E77" s="110"/>
    </row>
    <row r="78" customFormat="false" ht="15" hidden="false" customHeight="false" outlineLevel="0" collapsed="false">
      <c r="B78" s="4" t="n">
        <v>60</v>
      </c>
      <c r="C78" s="111" t="s">
        <v>942</v>
      </c>
      <c r="D78" s="9" t="s">
        <v>876</v>
      </c>
      <c r="E78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943</v>
      </c>
    </row>
    <row r="2" customFormat="false" ht="15" hidden="false" customHeight="false" outlineLevel="0" collapsed="false">
      <c r="A2" s="2" t="s">
        <v>944</v>
      </c>
    </row>
    <row r="4" customFormat="false" ht="15" hidden="false" customHeight="false" outlineLevel="0" collapsed="false">
      <c r="B4" s="17" t="s">
        <v>945</v>
      </c>
      <c r="C4" s="17" t="s">
        <v>946</v>
      </c>
      <c r="D4" s="17" t="s">
        <v>947</v>
      </c>
      <c r="E4" s="17" t="s">
        <v>948</v>
      </c>
      <c r="F4" s="17" t="s">
        <v>949</v>
      </c>
    </row>
    <row r="5" customFormat="false" ht="15" hidden="false" customHeight="false" outlineLevel="0" collapsed="false">
      <c r="B5" s="18" t="s">
        <v>950</v>
      </c>
      <c r="C5" s="9"/>
      <c r="D5" s="9"/>
      <c r="E5" s="9"/>
      <c r="F5" s="66" t="s">
        <v>951</v>
      </c>
    </row>
    <row r="6" customFormat="false" ht="15" hidden="false" customHeight="false" outlineLevel="0" collapsed="false">
      <c r="B6" s="18" t="s">
        <v>952</v>
      </c>
      <c r="C6" s="9"/>
      <c r="D6" s="9"/>
      <c r="E6" s="9"/>
      <c r="F6" s="66" t="s">
        <v>953</v>
      </c>
    </row>
    <row r="7" customFormat="false" ht="15" hidden="false" customHeight="false" outlineLevel="0" collapsed="false">
      <c r="B7" s="18" t="s">
        <v>954</v>
      </c>
      <c r="C7" s="9"/>
      <c r="D7" s="9"/>
      <c r="E7" s="9"/>
      <c r="F7" s="66" t="s">
        <v>955</v>
      </c>
    </row>
    <row r="8" customFormat="false" ht="15" hidden="false" customHeight="false" outlineLevel="0" collapsed="false">
      <c r="B8" s="48" t="s">
        <v>956</v>
      </c>
      <c r="C8" s="9"/>
      <c r="D8" s="9"/>
      <c r="E8" s="9"/>
      <c r="F8" s="66" t="s">
        <v>957</v>
      </c>
    </row>
    <row r="9" customFormat="false" ht="15" hidden="false" customHeight="false" outlineLevel="0" collapsed="false">
      <c r="B9" s="18" t="s">
        <v>490</v>
      </c>
      <c r="C9" s="9"/>
      <c r="D9" s="9"/>
      <c r="E9" s="9"/>
      <c r="F9" s="66" t="s">
        <v>958</v>
      </c>
    </row>
    <row r="10" customFormat="false" ht="15" hidden="false" customHeight="false" outlineLevel="0" collapsed="false">
      <c r="B10" s="18" t="s">
        <v>492</v>
      </c>
      <c r="C10" s="9"/>
      <c r="D10" s="9"/>
      <c r="E10" s="9"/>
      <c r="F10" s="66" t="s">
        <v>959</v>
      </c>
    </row>
    <row r="11" customFormat="false" ht="15" hidden="false" customHeight="false" outlineLevel="0" collapsed="false">
      <c r="B11" s="18" t="s">
        <v>960</v>
      </c>
      <c r="C11" s="9"/>
      <c r="D11" s="9"/>
      <c r="E11" s="9"/>
      <c r="F11" s="66" t="s">
        <v>961</v>
      </c>
    </row>
    <row r="12" customFormat="false" ht="15" hidden="false" customHeight="false" outlineLevel="0" collapsed="false">
      <c r="B12" s="18" t="s">
        <v>962</v>
      </c>
      <c r="C12" s="9"/>
      <c r="D12" s="9"/>
      <c r="E12" s="9"/>
      <c r="F12" s="66" t="s">
        <v>963</v>
      </c>
    </row>
    <row r="13" customFormat="false" ht="15" hidden="false" customHeight="false" outlineLevel="0" collapsed="false">
      <c r="B13" s="18" t="s">
        <v>964</v>
      </c>
      <c r="C13" s="9"/>
      <c r="D13" s="9"/>
      <c r="E13" s="9"/>
      <c r="F13" s="66" t="s">
        <v>965</v>
      </c>
    </row>
    <row r="14" customFormat="false" ht="15" hidden="false" customHeight="false" outlineLevel="0" collapsed="false">
      <c r="B14" s="18" t="s">
        <v>516</v>
      </c>
      <c r="C14" s="9"/>
      <c r="D14" s="9"/>
      <c r="E14" s="9"/>
      <c r="F14" s="66" t="s">
        <v>966</v>
      </c>
    </row>
    <row r="15" customFormat="false" ht="15" hidden="false" customHeight="false" outlineLevel="0" collapsed="false">
      <c r="B15" s="18" t="s">
        <v>967</v>
      </c>
      <c r="C15" s="9"/>
      <c r="D15" s="9"/>
      <c r="E15" s="9"/>
      <c r="F15" s="66" t="s">
        <v>968</v>
      </c>
    </row>
    <row r="16" customFormat="false" ht="15" hidden="false" customHeight="false" outlineLevel="0" collapsed="false">
      <c r="B16" s="18" t="s">
        <v>969</v>
      </c>
      <c r="C16" s="9"/>
      <c r="D16" s="9"/>
      <c r="E16" s="9"/>
      <c r="F16" s="66" t="s">
        <v>970</v>
      </c>
    </row>
    <row r="17" customFormat="false" ht="15" hidden="false" customHeight="false" outlineLevel="0" collapsed="false">
      <c r="B17" s="18" t="s">
        <v>518</v>
      </c>
      <c r="C17" s="9"/>
      <c r="D17" s="9"/>
      <c r="E17" s="9"/>
      <c r="F17" s="66" t="s">
        <v>971</v>
      </c>
    </row>
    <row r="18" customFormat="false" ht="15" hidden="false" customHeight="false" outlineLevel="0" collapsed="false">
      <c r="B18" s="18" t="s">
        <v>972</v>
      </c>
      <c r="C18" s="9"/>
      <c r="D18" s="9"/>
      <c r="E18" s="9"/>
      <c r="F18" s="66" t="s">
        <v>973</v>
      </c>
    </row>
    <row r="19" customFormat="false" ht="15" hidden="false" customHeight="false" outlineLevel="0" collapsed="false">
      <c r="B19" s="18" t="s">
        <v>974</v>
      </c>
      <c r="C19" s="9"/>
      <c r="D19" s="9"/>
      <c r="E19" s="9"/>
      <c r="F19" s="66" t="s">
        <v>975</v>
      </c>
    </row>
    <row r="20" customFormat="false" ht="15" hidden="false" customHeight="false" outlineLevel="0" collapsed="false">
      <c r="B20" s="18" t="s">
        <v>976</v>
      </c>
      <c r="C20" s="9"/>
      <c r="D20" s="9"/>
      <c r="E20" s="9"/>
      <c r="F20" s="66" t="s">
        <v>977</v>
      </c>
    </row>
    <row r="21" customFormat="false" ht="15" hidden="false" customHeight="false" outlineLevel="0" collapsed="false">
      <c r="B21" s="18" t="s">
        <v>978</v>
      </c>
      <c r="C21" s="9"/>
      <c r="D21" s="9"/>
      <c r="E21" s="9"/>
      <c r="F21" s="66" t="s">
        <v>979</v>
      </c>
    </row>
    <row r="22" customFormat="false" ht="15" hidden="false" customHeight="false" outlineLevel="0" collapsed="false">
      <c r="B22" s="18" t="s">
        <v>980</v>
      </c>
      <c r="C22" s="9"/>
      <c r="D22" s="9"/>
      <c r="E22" s="9"/>
      <c r="F22" s="66" t="s">
        <v>981</v>
      </c>
    </row>
    <row r="23" customFormat="false" ht="15" hidden="false" customHeight="false" outlineLevel="0" collapsed="false">
      <c r="B23" s="18" t="s">
        <v>982</v>
      </c>
      <c r="C23" s="9"/>
      <c r="D23" s="9"/>
      <c r="E23" s="9"/>
      <c r="F23" s="66" t="s">
        <v>983</v>
      </c>
    </row>
    <row r="24" customFormat="false" ht="15" hidden="false" customHeight="false" outlineLevel="0" collapsed="false">
      <c r="B24" s="18" t="s">
        <v>984</v>
      </c>
      <c r="C24" s="9"/>
      <c r="D24" s="9"/>
      <c r="E24" s="9"/>
      <c r="F24" s="66" t="s">
        <v>985</v>
      </c>
    </row>
    <row r="25" customFormat="false" ht="15" hidden="false" customHeight="false" outlineLevel="0" collapsed="false">
      <c r="B25" s="18" t="s">
        <v>986</v>
      </c>
      <c r="C25" s="9"/>
      <c r="D25" s="9"/>
      <c r="E25" s="9"/>
      <c r="F25" s="66" t="s">
        <v>987</v>
      </c>
    </row>
    <row r="26" customFormat="false" ht="15" hidden="false" customHeight="false" outlineLevel="0" collapsed="false">
      <c r="B26" s="18" t="s">
        <v>988</v>
      </c>
      <c r="C26" s="9"/>
      <c r="D26" s="9"/>
      <c r="E26" s="9"/>
      <c r="F26" s="66" t="s">
        <v>989</v>
      </c>
    </row>
    <row r="27" customFormat="false" ht="15" hidden="false" customHeight="false" outlineLevel="0" collapsed="false">
      <c r="B27" s="18" t="s">
        <v>990</v>
      </c>
      <c r="C27" s="9"/>
      <c r="D27" s="9"/>
      <c r="E27" s="9"/>
      <c r="F27" s="66" t="s">
        <v>991</v>
      </c>
    </row>
    <row r="28" customFormat="false" ht="15" hidden="false" customHeight="false" outlineLevel="0" collapsed="false">
      <c r="B28" s="48" t="s">
        <v>992</v>
      </c>
      <c r="C28" s="9"/>
      <c r="D28" s="9"/>
      <c r="E28" s="9"/>
      <c r="F28" s="66" t="s">
        <v>993</v>
      </c>
    </row>
    <row r="29" customFormat="false" ht="15" hidden="false" customHeight="false" outlineLevel="0" collapsed="false">
      <c r="B29" s="18" t="s">
        <v>994</v>
      </c>
      <c r="C29" s="9"/>
      <c r="D29" s="9"/>
      <c r="E29" s="9"/>
      <c r="F29" s="66" t="s">
        <v>995</v>
      </c>
    </row>
    <row r="30" customFormat="false" ht="15" hidden="false" customHeight="false" outlineLevel="0" collapsed="false">
      <c r="B30" s="18" t="s">
        <v>996</v>
      </c>
      <c r="C30" s="9"/>
      <c r="D30" s="9"/>
      <c r="E30" s="9"/>
      <c r="F30" s="66" t="s">
        <v>997</v>
      </c>
    </row>
    <row r="31" customFormat="false" ht="15" hidden="false" customHeight="false" outlineLevel="0" collapsed="false">
      <c r="B31" s="18" t="s">
        <v>998</v>
      </c>
      <c r="C31" s="9"/>
      <c r="D31" s="9"/>
      <c r="E31" s="9"/>
      <c r="F31" s="66" t="s">
        <v>999</v>
      </c>
    </row>
    <row r="32" customFormat="false" ht="15" hidden="false" customHeight="false" outlineLevel="0" collapsed="false">
      <c r="B32" s="18" t="s">
        <v>1000</v>
      </c>
      <c r="C32" s="9"/>
      <c r="D32" s="9"/>
      <c r="E32" s="9"/>
      <c r="F32" s="66" t="s">
        <v>1001</v>
      </c>
    </row>
    <row r="33" customFormat="false" ht="15" hidden="false" customHeight="false" outlineLevel="0" collapsed="false">
      <c r="B33" s="18" t="s">
        <v>1002</v>
      </c>
      <c r="C33" s="9"/>
      <c r="D33" s="9"/>
      <c r="E33" s="9"/>
      <c r="F33" s="66" t="s">
        <v>1003</v>
      </c>
    </row>
    <row r="34" customFormat="false" ht="15" hidden="false" customHeight="false" outlineLevel="0" collapsed="false">
      <c r="B34" s="18" t="s">
        <v>1004</v>
      </c>
      <c r="C34" s="9"/>
      <c r="D34" s="9"/>
      <c r="E34" s="9"/>
      <c r="F34" s="66" t="s">
        <v>1005</v>
      </c>
    </row>
    <row r="35" customFormat="false" ht="15" hidden="false" customHeight="false" outlineLevel="0" collapsed="false">
      <c r="B35" s="18" t="s">
        <v>530</v>
      </c>
      <c r="C35" s="9"/>
      <c r="D35" s="9"/>
      <c r="E35" s="9"/>
      <c r="F35" s="66" t="s">
        <v>1006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2026-08-11T14:36:18Z</dcterms:created>
  <dc:creator>openpyxl</dc:creator>
  <dc:description/>
  <dc:language>en-US</dc:language>
  <cp:lastModifiedBy/>
  <dcterms:modified xsi:type="dcterms:W3CDTF">2026-08-11T14:36:18Z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