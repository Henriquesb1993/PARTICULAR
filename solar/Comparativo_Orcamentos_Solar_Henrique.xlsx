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_ME" sheetId="1" state="visible" r:id="rId1"/>
    <sheet name="ENTRADAS" sheetId="2" state="visible" r:id="rId2"/>
    <sheet name="CONTA" sheetId="3" state="visible" r:id="rId3"/>
    <sheet name="GERACAO" sheetId="4" state="visible" r:id="rId4"/>
    <sheet name="BYD" sheetId="5" state="visible" r:id="rId5"/>
    <sheet name="DIMENSIONAMENTO" sheetId="6" state="visible" r:id="rId6"/>
    <sheet name="COMPARATIVO" sheetId="7" state="visible" r:id="rId7"/>
    <sheet name="BOM_DETALHADO" sheetId="8" state="visible" r:id="rId8"/>
    <sheet name="ECONOMIA" sheetId="9" state="visible" r:id="rId9"/>
    <sheet name="PROJECAO" sheetId="10" state="visible" r:id="rId10"/>
    <sheet name="SIMULACAO_MENSAL" sheetId="11" state="visible" r:id="rId11"/>
    <sheet name="CHECKLIST" sheetId="12" state="visible" r:id="rId12"/>
    <sheet name="NOVOS_ORCAMENTOS" sheetId="13" state="visible" r:id="rId13"/>
    <sheet name="RECEBIMENTO" sheetId="14" state="visible" r:id="rId14"/>
    <sheet name="DOCS_ENEL" sheetId="15" state="visible" r:id="rId15"/>
    <sheet name="MODULO" sheetId="16" state="visible" r:id="rId16"/>
    <sheet name="GERACAO_REAL" sheetId="17" state="visible" r:id="rId17"/>
    <sheet name="MEDIAS" sheetId="18" state="visible" r:id="rId18"/>
    <sheet name="EXPANSAO_12" sheetId="19" state="visible" r:id="rId19"/>
    <sheet name="MONITORAMENTO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0.0%"/>
    <numFmt numFmtId="166" formatCode="0.00&quot;x&quot;"/>
    <numFmt numFmtId="167" formatCode="R$ 0.000"/>
    <numFmt numFmtId="168" formatCode="R$ 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8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C0000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6" fillId="2" borderId="1" pivotButton="0" quotePrefix="0" xfId="0"/>
    <xf numFmtId="0" fontId="7" fillId="0" borderId="0" pivotButton="0" quotePrefix="0" xfId="0"/>
    <xf numFmtId="3" fontId="6" fillId="2" borderId="1" pivotButton="0" quotePrefix="0" xfId="0"/>
    <xf numFmtId="3" fontId="4" fillId="0" borderId="0" pivotButton="0" quotePrefix="0" xfId="0"/>
    <xf numFmtId="164" fontId="6" fillId="2" borderId="1" pivotButton="0" quotePrefix="0" xfId="0"/>
    <xf numFmtId="165" fontId="6" fillId="2" borderId="1" pivotButton="0" quotePrefix="0" xfId="0"/>
    <xf numFmtId="164" fontId="4" fillId="0" borderId="0" pivotButton="0" quotePrefix="0" xfId="0"/>
    <xf numFmtId="4" fontId="6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3" fontId="6" fillId="6" borderId="1" pivotButton="0" quotePrefix="0" xfId="0"/>
    <xf numFmtId="0" fontId="9" fillId="0" borderId="0" pivotButton="0" quotePrefix="0" xfId="0"/>
    <xf numFmtId="164" fontId="6" fillId="7" borderId="1" pivotButton="0" quotePrefix="0" xfId="0"/>
    <xf numFmtId="164" fontId="9" fillId="6" borderId="0" pivotButton="0" quotePrefix="0" xfId="0"/>
    <xf numFmtId="3" fontId="6" fillId="5" borderId="1" pivotButton="0" quotePrefix="0" xfId="0"/>
    <xf numFmtId="0" fontId="4" fillId="0" borderId="0" applyAlignment="1" pivotButton="0" quotePrefix="0" xfId="0">
      <alignment horizontal="left"/>
    </xf>
    <xf numFmtId="3" fontId="9" fillId="0" borderId="0" pivotButton="0" quotePrefix="0" xfId="0"/>
    <xf numFmtId="4" fontId="4" fillId="6" borderId="0" pivotButton="0" quotePrefix="0" xfId="0"/>
    <xf numFmtId="0" fontId="5" fillId="0" borderId="0" applyAlignment="1" pivotButton="0" quotePrefix="0" xfId="0">
      <alignment horizontal="left"/>
    </xf>
    <xf numFmtId="4" fontId="4" fillId="0" borderId="0" pivotButton="0" quotePrefix="0" xfId="0"/>
    <xf numFmtId="165" fontId="4" fillId="0" borderId="0" pivotButton="0" quotePrefix="0" xfId="0"/>
    <xf numFmtId="165" fontId="4" fillId="5" borderId="0" pivotButton="0" quotePrefix="0" xfId="0"/>
    <xf numFmtId="3" fontId="10" fillId="0" borderId="1" pivotButton="0" quotePrefix="0" xfId="0"/>
    <xf numFmtId="0" fontId="2" fillId="0" borderId="1" pivotButton="0" quotePrefix="0" xfId="0"/>
    <xf numFmtId="3" fontId="9" fillId="3" borderId="0" pivotButton="0" quotePrefix="0" xfId="0"/>
    <xf numFmtId="164" fontId="9" fillId="7" borderId="0" pivotButton="0" quotePrefix="0" xfId="0"/>
    <xf numFmtId="4" fontId="9" fillId="7" borderId="0" pivotButton="0" quotePrefix="0" xfId="0"/>
    <xf numFmtId="3" fontId="9" fillId="5" borderId="0" pivotButton="0" quotePrefix="0" xfId="0"/>
    <xf numFmtId="3" fontId="9" fillId="6" borderId="0" pivotButton="0" quotePrefix="0" xfId="0"/>
    <xf numFmtId="3" fontId="4" fillId="0" borderId="1" pivotButton="0" quotePrefix="0" xfId="0"/>
    <xf numFmtId="165" fontId="4" fillId="0" borderId="1" pivotButton="0" quotePrefix="0" xfId="0"/>
    <xf numFmtId="0" fontId="9" fillId="3" borderId="1" pivotButton="0" quotePrefix="0" xfId="0"/>
    <xf numFmtId="3" fontId="9" fillId="3" borderId="1" pivotButton="0" quotePrefix="0" xfId="0"/>
    <xf numFmtId="4" fontId="9" fillId="3" borderId="1" pivotButton="0" quotePrefix="0" xfId="0"/>
    <xf numFmtId="0" fontId="0" fillId="3" borderId="1" pivotButton="0" quotePrefix="0" xfId="0"/>
    <xf numFmtId="165" fontId="5" fillId="3" borderId="1" pivotButton="0" quotePrefix="0" xfId="0"/>
    <xf numFmtId="3" fontId="10" fillId="0" borderId="0" pivotButton="0" quotePrefix="0" xfId="0"/>
    <xf numFmtId="4" fontId="10" fillId="0" borderId="0" pivotButton="0" quotePrefix="0" xfId="0"/>
    <xf numFmtId="3" fontId="9" fillId="7" borderId="1" pivotButton="0" quotePrefix="0" xfId="0"/>
    <xf numFmtId="165" fontId="10" fillId="0" borderId="0" pivotButton="0" quotePrefix="0" xfId="0"/>
    <xf numFmtId="164" fontId="9" fillId="7" borderId="1" pivotButton="0" quotePrefix="0" xfId="0"/>
    <xf numFmtId="0" fontId="9" fillId="0" borderId="1" pivotButton="0" quotePrefix="0" xfId="0"/>
    <xf numFmtId="3" fontId="9" fillId="6" borderId="1" pivotButton="0" quotePrefix="0" xfId="0"/>
    <xf numFmtId="0" fontId="9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6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4" fontId="4" fillId="6" borderId="1" pivotButton="0" quotePrefix="0" xfId="0"/>
    <xf numFmtId="4" fontId="4" fillId="7" borderId="1" pivotButton="0" quotePrefix="0" xfId="0"/>
    <xf numFmtId="4" fontId="9" fillId="5" borderId="0" pivotButton="0" quotePrefix="0" xfId="0"/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3" fontId="4" fillId="7" borderId="1" pivotButton="0" quotePrefix="0" xfId="0"/>
    <xf numFmtId="3" fontId="4" fillId="6" borderId="1" pivotButton="0" quotePrefix="0" xfId="0"/>
    <xf numFmtId="164" fontId="4" fillId="6" borderId="0" pivotButton="0" quotePrefix="0" xfId="0"/>
    <xf numFmtId="4" fontId="9" fillId="6" borderId="0" pivotButton="0" quotePrefix="0" xfId="0"/>
    <xf numFmtId="4" fontId="9" fillId="6" borderId="1" pivotButton="0" quotePrefix="0" xfId="0"/>
    <xf numFmtId="0" fontId="4" fillId="0" borderId="1" applyAlignment="1" pivotButton="0" quotePrefix="0" xfId="0">
      <alignment horizontal="center" wrapText="1"/>
    </xf>
    <xf numFmtId="4" fontId="4" fillId="0" borderId="1" applyAlignment="1" pivotButton="0" quotePrefix="0" xfId="0">
      <alignment horizontal="center" wrapText="1"/>
    </xf>
    <xf numFmtId="3" fontId="4" fillId="0" borderId="1" applyAlignment="1" pivotButton="0" quotePrefix="0" xfId="0">
      <alignment horizontal="center" wrapText="1"/>
    </xf>
    <xf numFmtId="4" fontId="4" fillId="3" borderId="1" applyAlignment="1" pivotButton="0" quotePrefix="0" xfId="0">
      <alignment horizontal="center" wrapText="1"/>
    </xf>
    <xf numFmtId="166" fontId="4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 wrapText="1"/>
    </xf>
    <xf numFmtId="165" fontId="4" fillId="7" borderId="1" applyAlignment="1" pivotButton="0" quotePrefix="0" xfId="0">
      <alignment horizontal="center" wrapText="1"/>
    </xf>
    <xf numFmtId="165" fontId="4" fillId="6" borderId="1" applyAlignment="1" pivotButton="0" quotePrefix="0" xfId="0">
      <alignment horizontal="center" wrapText="1"/>
    </xf>
    <xf numFmtId="0" fontId="9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3" fontId="6" fillId="2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4" fontId="9" fillId="3" borderId="1" applyAlignment="1" pivotButton="0" quotePrefix="0" xfId="0">
      <alignment horizontal="center" vertical="center" wrapText="1"/>
    </xf>
    <xf numFmtId="4" fontId="6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5" fontId="9" fillId="7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9" fillId="7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4" fontId="9" fillId="6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168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7" fontId="9" fillId="3" borderId="0" pivotButton="0" quotePrefix="0" xfId="0"/>
    <xf numFmtId="165" fontId="9" fillId="3" borderId="0" pivotButton="0" quotePrefix="0" xfId="0"/>
    <xf numFmtId="164" fontId="4" fillId="0" borderId="1" pivotButton="0" quotePrefix="0" xfId="0"/>
    <xf numFmtId="164" fontId="9" fillId="5" borderId="0" pivotButton="0" quotePrefix="0" xfId="0"/>
    <xf numFmtId="167" fontId="9" fillId="0" borderId="0" pivotButton="0" quotePrefix="0" xfId="0"/>
    <xf numFmtId="167" fontId="4" fillId="0" borderId="0" pivotButton="0" quotePrefix="0" xfId="0"/>
    <xf numFmtId="0" fontId="5" fillId="5" borderId="1" applyAlignment="1" pivotButton="0" quotePrefix="0" xfId="0">
      <alignment horizontal="center"/>
    </xf>
    <xf numFmtId="0" fontId="0" fillId="0" borderId="1" pivotButton="0" quotePrefix="0" xfId="0"/>
    <xf numFmtId="0" fontId="4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9" fillId="0" borderId="0" pivotButton="0" quotePrefix="0" xfId="0"/>
    <xf numFmtId="164" fontId="9" fillId="5" borderId="1" pivotButton="0" quotePrefix="0" xfId="0"/>
    <xf numFmtId="164" fontId="9" fillId="6" borderId="1" pivotButton="0" quotePrefix="0" xfId="0"/>
    <xf numFmtId="1" fontId="4" fillId="0" borderId="1" pivotButton="0" quotePrefix="0" xfId="0"/>
    <xf numFmtId="168" fontId="4" fillId="0" borderId="1" pivotButton="0" quotePrefix="0" xfId="0"/>
    <xf numFmtId="1" fontId="4" fillId="3" borderId="1" pivotButton="0" quotePrefix="0" xfId="0"/>
    <xf numFmtId="165" fontId="4" fillId="3" borderId="1" pivotButton="0" quotePrefix="0" xfId="0"/>
    <xf numFmtId="168" fontId="4" fillId="3" borderId="1" pivotButton="0" quotePrefix="0" xfId="0"/>
    <xf numFmtId="0" fontId="7" fillId="5" borderId="0" applyAlignment="1" pivotButton="0" quotePrefix="0" xfId="0">
      <alignment vertical="top" wrapText="1"/>
    </xf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5" fillId="7" borderId="1" applyAlignment="1" pivotButton="0" quotePrefix="0" xfId="0">
      <alignment horizontal="center"/>
    </xf>
    <xf numFmtId="165" fontId="6" fillId="6" borderId="1" pivotButton="0" quotePrefix="0" xfId="0"/>
    <xf numFmtId="4" fontId="9" fillId="0" borderId="0" pivotButton="0" quotePrefix="0" xfId="0"/>
    <xf numFmtId="4" fontId="6" fillId="6" borderId="1" pivotButton="0" quotePrefix="0" xfId="0"/>
    <xf numFmtId="3" fontId="9" fillId="0" borderId="1" pivotButton="0" quotePrefix="0" xfId="0"/>
    <xf numFmtId="3" fontId="5" fillId="5" borderId="0" pivotButton="0" quotePrefix="0" xfId="0"/>
    <xf numFmtId="165" fontId="9" fillId="0" borderId="1" pivotButton="0" quotePrefix="0" xfId="0"/>
    <xf numFmtId="164" fontId="9" fillId="0" borderId="1" pivotButton="0" quotePrefix="0" xfId="0"/>
    <xf numFmtId="3" fontId="9" fillId="5" borderId="1" pivotButton="0" quotePrefix="0" xfId="0"/>
    <xf numFmtId="3" fontId="4" fillId="6" borderId="0" pivotButton="0" quotePrefix="0" xfId="0"/>
    <xf numFmtId="165" fontId="4" fillId="6" borderId="0" pivotButton="0" quotePrefix="0" xfId="0"/>
    <xf numFmtId="165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>
      <c r="A1" s="1" t="inlineStr">
        <is>
          <t>COMPARATIVO DE ORCAMENTOS - ENERGIA SOLAR + CARREGAMENTO DE BYD HIBRIDO</t>
        </is>
      </c>
    </row>
    <row r="2">
      <c r="B2" s="2" t="inlineStr">
        <is>
          <t>Cliente: Henrique dos Santos Peite  |  UC Enel SP 0118487990 / 100242856108  |  Classe B1 residencial, fornecimento MONOFASICO  |  Local da instalacao informado: Av. Cel. Sezefredo Fagundes, 8482 C2</t>
        </is>
      </c>
    </row>
    <row r="4">
      <c r="B4" s="3" t="inlineStr">
        <is>
          <t>1. OS QUATRO ORCAMENTOS ANALISADOS</t>
        </is>
      </c>
    </row>
    <row r="5">
      <c r="B5" s="4" t="inlineStr">
        <is>
          <t>A) TecSolarSP - 12 modulos JA Solar 615 W = 7,38 kWp + Huawei 6 kW  -&gt;  cotacao Belenergy WEB-006506779 = R$ 18.228,70</t>
        </is>
      </c>
    </row>
    <row r="6">
      <c r="B6" s="4" t="inlineStr">
        <is>
          <t>B) TecSolarSP - 12 modulos Astronergy 605 W = 7,26 kWp + Huawei 6 kW  -&gt;  cotacao Belenergy WEB-006512519 = R$ 17.307,90</t>
        </is>
      </c>
    </row>
    <row r="7">
      <c r="B7" s="4" t="inlineStr">
        <is>
          <t>C) SunWash (Yuri) - 10 modulos TCL 620 W = 6,20 kWp + inversor AUXSOL 5 kW  -&gt;  R$ 14.220,34 INSTALADO</t>
        </is>
      </c>
    </row>
    <row r="8">
      <c r="B8" s="4" t="inlineStr">
        <is>
          <t>D) SunWash (Yuri) - 10 modulos TCL 620 W = 6,20 kWp + inversor HUAWEI 5 kW  -&gt;  R$ 15.220,34 INSTALADO</t>
        </is>
      </c>
    </row>
    <row r="9">
      <c r="B9" s="4" t="inlineStr">
        <is>
          <t xml:space="preserve">     (a SunWash tambem anunciou kits Intelbras de 'ate 500 / 700 / 1000 kWh/mes' por R$ 12.459,81 / 16.190,48 / 20.777,81</t>
        </is>
      </c>
    </row>
    <row r="10">
      <c r="B10" s="4" t="inlineStr">
        <is>
          <t xml:space="preserve">      + R$ 1.800 de acrescimo regional. Sem quantidade nem potencia de modulo informadas - descartados da comparacao.)</t>
        </is>
      </c>
    </row>
    <row r="11">
      <c r="B11" s="4" t="inlineStr">
        <is>
          <t>E) William - 10 modulos Maxeon 535 W = 5,35 kWp + Solis 4 kW  -&gt;  R$ 18.848,91 INSTALADO (kit 11.158,91 + eng. 790 + instal. 6.900)</t>
        </is>
      </c>
    </row>
    <row r="12">
      <c r="B12" s="4" t="inlineStr">
        <is>
          <t>F) Sun Coast (Alexandre) - 8 modulos RONMA 585 W = 4,68 kWp + AUXSOL 3 kW 1 MPPT  -&gt;  R$ 12.387,64 INSTALADO</t>
        </is>
      </c>
    </row>
    <row r="13">
      <c r="B13" s="4" t="inlineStr">
        <is>
          <t xml:space="preserve">     Proposta 40436 de 11/08/2026, valida ate 20/08/2026. CNPJ 47.864.839/0001-31. Unica com garantias declaradas.</t>
        </is>
      </c>
    </row>
    <row r="14">
      <c r="B14" s="4" t="inlineStr">
        <is>
          <t>G) SunWash (Yuri) - 10 modulos de 650 W = 6,50 kWp + 4 MICROINVERSORES de 2,25 kW  -&gt;  R$ 16.780,54 INSTALADO</t>
        </is>
      </c>
    </row>
    <row r="15">
      <c r="B15" s="4" t="inlineStr">
        <is>
          <t xml:space="preserve">     Unica com 18x SEM JUROS pelo mesmo valor a vista (R$ 932,25/mes). Unica com 1 MPPT por modulo.</t>
        </is>
      </c>
    </row>
    <row r="16">
      <c r="B16" s="4" t="inlineStr">
        <is>
          <t>H) Sfero (indicacao do Renato) - 10 modulos Longi/DAH 590 W = 5,90 kWp + 2 microinversores Solis/Growatt de 2,5 kW</t>
        </is>
      </c>
    </row>
    <row r="17">
      <c r="B17" s="4" t="inlineStr">
        <is>
          <t xml:space="preserve">     -&gt; R$ 18.733,00 INSTALADO. A UNICA com marcas Tier 1 nos DOIS equipamentos, seguro All Risk e garantia de performance em contrato.</t>
        </is>
      </c>
    </row>
    <row r="18">
      <c r="B18" s="4" t="inlineStr">
        <is>
          <t>I) Sun Coast v2 (Alexandre) - 11 modulos TCL 620 W = 6,82 kWp + AUXSOL 7,5 kW 2 MPPT  -&gt;  R$ 16.890,00 INSTALADO</t>
        </is>
      </c>
    </row>
    <row r="19">
      <c r="B19" s="4" t="inlineStr">
        <is>
          <t xml:space="preserve">     Substitui a proposta F: corrigiu a relacao DC/AC de 1,56 para 0,91 e passou de 1 para 2 MPPTs. Melhor R$/Wp de todos.</t>
        </is>
      </c>
    </row>
    <row r="20">
      <c r="B20" s="4" t="inlineStr">
        <is>
          <t>J) AD BioSolar (Adriano Melo) - 8 modulos JA Solar 615 W = 4,92 kWp + HUAWEI SUN2000-5KTL-L1  -&gt;  R$ 17.442,00 INSTALADO</t>
        </is>
      </c>
    </row>
    <row r="21">
      <c r="B21" s="4" t="inlineStr">
        <is>
          <t xml:space="preserve">     A UNICA que informou o MODELO EXATO do inversor, e a de melhores garantias: 30 anos de eficiencia no modulo e 10 anos no inversor.</t>
        </is>
      </c>
    </row>
    <row r="22">
      <c r="B22" s="4" t="inlineStr">
        <is>
          <t xml:space="preserve">     Em contrapartida e a mais cara por Wp entre as turnkey e cobre so 77% do consumo com o carro.</t>
        </is>
      </c>
    </row>
    <row r="23">
      <c r="B23" s="4" t="inlineStr">
        <is>
          <t>K) Bruno G4 (11) 96861-7830 - nada recebido ainda. Coluna reservada na aba COMPARATIVO.</t>
        </is>
      </c>
    </row>
    <row r="24">
      <c r="B24" s="4" t="inlineStr"/>
    </row>
    <row r="25">
      <c r="B25" s="3" t="inlineStr">
        <is>
          <t>2. AS TRES DESCOBERTAS MAIS IMPORTANTES</t>
        </is>
      </c>
    </row>
    <row r="26">
      <c r="B26" s="5" t="inlineStr">
        <is>
          <t>(1) SEU PADRAO E MONOFASICO, E TODOS OS INVERSORES COTADOS SAO DE 220 V.</t>
        </is>
      </c>
    </row>
    <row r="27">
      <c r="B27" s="4" t="inlineStr">
        <is>
          <t xml:space="preserve">     Na Enel SP o monofasico entrega 127 V. Inversor de 220 V exige DUAS fases. Ou seja: TODOS os quatro orcamentos</t>
        </is>
      </c>
    </row>
    <row r="28">
      <c r="B28" s="4" t="inlineStr">
        <is>
          <t xml:space="preserve">     dependem de mudanca do padrao de entrada para bifasico - com custo, projeto e aprovacao da Enel. Somente o</t>
        </is>
      </c>
    </row>
    <row r="29">
      <c r="B29" s="4" t="inlineStr">
        <is>
          <t xml:space="preserve">     William menciona isso (observacao 2 da proposta dele), e nenhum dos quatro colocou o custo no preco.</t>
        </is>
      </c>
    </row>
    <row r="30">
      <c r="B30" s="4" t="inlineStr">
        <is>
          <t xml:space="preserve">     Consequencia extra: ao virar bifasico, o custo de disponibilidade sobe de 30 para 50 kWh/mes para sempre.</t>
        </is>
      </c>
    </row>
    <row r="31">
      <c r="B31" s="5" t="inlineStr">
        <is>
          <t>(2) A GERACAO PROMETIDA PELA TECSOLARSP FOI CALCULADA COMO SE O TELHADO FOSSE VOLTADO AO NORTE.</t>
        </is>
      </c>
    </row>
    <row r="32">
      <c r="B32" s="4" t="inlineStr">
        <is>
          <t xml:space="preserve">     Eles declaram telhado SUDESTE e prometem 10.554 kWh/ano para 7,38 kWp, o que da 1.430 kWh por kWp ao ano.</t>
        </is>
      </c>
    </row>
    <row r="33">
      <c r="B33" s="4" t="inlineStr">
        <is>
          <t xml:space="preserve">     Esse valor e exatamente o que um telhado NORTE produziria (1.421 na aba GERACAO). No Sudeste sao ~1.264.</t>
        </is>
      </c>
    </row>
    <row r="34">
      <c r="B34" s="4" t="inlineStr">
        <is>
          <t xml:space="preserve">     A SunWash escreve isso abertamente no anuncio: 'CALCULO CONSIDERANDO NORTE DO TELHADO'. Desconto de ~11%.</t>
        </is>
      </c>
    </row>
    <row r="35">
      <c r="B35" s="5" t="inlineStr">
        <is>
          <t>(3) NENHUM DOS QUATRO CONSIDEROU O CARREGAMENTO DO BYD.</t>
        </is>
      </c>
    </row>
    <row r="36">
      <c r="B36" s="4" t="inlineStr">
        <is>
          <t xml:space="preserve">     Todos dimensionaram pela conta antiga (media de 381 kWh/mes). Com o carro o consumo vai para a faixa de</t>
        </is>
      </c>
    </row>
    <row r="37">
      <c r="B37" s="4" t="inlineStr">
        <is>
          <t xml:space="preserve">     580 a 680 kWh/mes. A proposta do William (5,35 kWp) fica subdimensionada e o inversor Solis de 4 kW nao</t>
        </is>
      </c>
    </row>
    <row r="38">
      <c r="B38" s="4" t="inlineStr">
        <is>
          <t xml:space="preserve">     permite ampliar depois. A Sun Coast (4,68 kWp) e a menor de todas e cobre so 73% do consumo com o carro.</t>
        </is>
      </c>
    </row>
    <row r="39">
      <c r="B39" s="4" t="inlineStr">
        <is>
          <t xml:space="preserve">     As de 6,20 e 7,38 kWp por coincidencia ficam adequadas.</t>
        </is>
      </c>
    </row>
    <row r="40">
      <c r="B40" s="4" t="inlineStr"/>
    </row>
    <row r="41">
      <c r="B41" s="3" t="inlineStr">
        <is>
          <t>2c. CUIDADO COM O PAYBACK COMO CRITERIO UNICO</t>
        </is>
      </c>
    </row>
    <row r="42">
      <c r="B42" s="4" t="inlineStr">
        <is>
          <t>Sistema pequeno se paga rapido e depois te deixa pagando conta de luz para sempre. O payback ignora a energia que</t>
        </is>
      </c>
    </row>
    <row r="43">
      <c r="B43" s="4" t="inlineStr">
        <is>
          <t>voce NAO compensou. Use a linha 61 do COMPARATIVO (LUCRO LIQUIDO EM 20 ANOS) para decidir, nao a linha 57 (payback).</t>
        </is>
      </c>
    </row>
    <row r="44">
      <c r="B44" s="4" t="inlineStr">
        <is>
          <t>Exemplo real deste caso: Sun Coast e SunWash tem payback quase igual, mas a SunWash rende cerca de R$ 48 mil MAIS</t>
        </is>
      </c>
    </row>
    <row r="45">
      <c r="B45" s="4" t="inlineStr">
        <is>
          <t>em 20 anos, porque o sistema e 32% maior e cobre o carro.</t>
        </is>
      </c>
    </row>
    <row r="46">
      <c r="B46" s="4" t="inlineStr"/>
    </row>
    <row r="47">
      <c r="B47" s="3" t="inlineStr">
        <is>
          <t>2b. DIFERENCA DE PRECO ENTRE OS FORNECEDORES - O DADO MAIS IMPORTANTE PARA NEGOCIAR</t>
        </is>
      </c>
    </row>
    <row r="48">
      <c r="B48" s="4" t="inlineStr">
        <is>
          <t>SunWash cobra R$ 2,29 a R$ 2,46 por Wp INSTALADO. William cobrou R$ 3,52 por Wp INSTALADO.</t>
        </is>
      </c>
    </row>
    <row r="49">
      <c r="B49" s="4" t="inlineStr">
        <is>
          <t>A TecSolarSP paga R$ 2,47 por Wp so de MATERIAL - o preco de venda dela ainda nao foi informado.</t>
        </is>
      </c>
    </row>
    <row r="50">
      <c r="B50" s="4" t="inlineStr">
        <is>
          <t>Voce agora sabe o custo de material do integrador. Use isso para negociar.</t>
        </is>
      </c>
    </row>
    <row r="51">
      <c r="B51" s="4" t="inlineStr"/>
    </row>
    <row r="52">
      <c r="B52" s="3" t="inlineStr">
        <is>
          <t>3. LEGENDA DE CORES</t>
        </is>
      </c>
    </row>
    <row r="53">
      <c r="B53" s="6" t="inlineStr">
        <is>
          <t>CELULA AMARELA COM NUMERO AZUL = voce pode/deve editar. Todo o resto e formula e recalcula sozinho.</t>
        </is>
      </c>
    </row>
    <row r="54">
      <c r="B54" s="4" t="inlineStr">
        <is>
          <t>Texto preto = formula.   Texto verde = valor puxado de outra aba.   Fundo vermelho = alerta tecnico.</t>
        </is>
      </c>
    </row>
    <row r="55">
      <c r="B55" s="4" t="inlineStr"/>
    </row>
    <row r="56">
      <c r="B56" s="3" t="inlineStr">
        <is>
          <t>4. O QUE JA E DADO REAL E O QUE AINDA E ESTIMATIVA</t>
        </is>
      </c>
    </row>
    <row r="57">
      <c r="B57" s="4" t="inlineStr">
        <is>
          <t>DADO REAL (extraido da conta que veio na proposta do William): historico de 12 meses, media de 381,3 kWh/mes,</t>
        </is>
      </c>
    </row>
    <row r="58">
      <c r="B58" s="4" t="inlineStr">
        <is>
          <t>fatura de jul/2026 de R$ 572,70 para 540 kWh, COSIP de R$ 21,11, tarifa efetiva de R$ 1,0215/kWh, classe B1 monofasica.</t>
        </is>
      </c>
    </row>
    <row r="59">
      <c r="B59" s="5" t="inlineStr">
        <is>
          <t>ESTIMATIVA A CONFIRMAR: (a) todos os dados do BYD - modelo, km/dia, horario e potencia do carregador;</t>
        </is>
      </c>
    </row>
    <row r="60">
      <c r="B60" s="5" t="inlineStr">
        <is>
          <t>(b) potencia, quantidade de modulos e inversor dos kits SunWash - o anuncio nao informa;</t>
        </is>
      </c>
    </row>
    <row r="61">
      <c r="B61" s="5" t="inlineStr">
        <is>
          <t>(c) preco de venda instalado da TecSolarSP - os 2 PDFs sao o CUSTO DE MATERIAL deles, nao o seu preco;</t>
        </is>
      </c>
    </row>
    <row r="62">
      <c r="B62" s="5" t="inlineStr">
        <is>
          <t>(d) custo da adequacao do padrao monofasico -&gt; bifasico; (e) TUSD Fio B da Enel SP; (f) tipo real da telha.</t>
        </is>
      </c>
    </row>
    <row r="63">
      <c r="B63" s="4" t="inlineStr"/>
    </row>
    <row r="64">
      <c r="B64" s="3" t="inlineStr">
        <is>
          <t>5. ROTEIRO DAS ABAS</t>
        </is>
      </c>
    </row>
    <row r="65">
      <c r="B65" s="4" t="inlineStr">
        <is>
          <t>ENTRADAS ........... dados da conta (REAIS), premissas tecnicas e dados do BYD (a preencher)</t>
        </is>
      </c>
    </row>
    <row r="66">
      <c r="B66" s="4" t="inlineStr">
        <is>
          <t>CONTA .............. analise da fatura e do historico de 12 meses, media, extremos e tendencia</t>
        </is>
      </c>
    </row>
    <row r="67">
      <c r="B67" s="4" t="inlineStr">
        <is>
          <t>GERACAO ............ irradiacao mes a mes e geracao por kWp: telhado Sudeste x Norte</t>
        </is>
      </c>
    </row>
    <row r="68">
      <c r="B68" s="4" t="inlineStr">
        <is>
          <t>BYD ................ consumo do carro em kWh/mes, potencia x energia do carregador e os 3 cenarios de consumo</t>
        </is>
      </c>
    </row>
    <row r="69">
      <c r="B69" s="4" t="inlineStr">
        <is>
          <t>DIMENSIONAMENTO .... o kWp que VOCE precisa e as opcoes economica / ideal / com expansao</t>
        </is>
      </c>
    </row>
    <row r="70">
      <c r="B70" s="4" t="inlineStr">
        <is>
          <t>COMPARATIVO ........ quadro lado a lado dos 5 orcamentos. ABA PRINCIPAL</t>
        </is>
      </c>
    </row>
    <row r="71">
      <c r="B71" s="4" t="inlineStr">
        <is>
          <t>BOM_DETALHADO ...... lista de materiais item por item das 3 cotacoes Belenergy</t>
        </is>
      </c>
    </row>
    <row r="72">
      <c r="B72" s="4" t="inlineStr">
        <is>
          <t>ECONOMIA ........... economia do ano 1 pelas regras da Lei 14.300 (Fio B, disponibilidade, COSIP)</t>
        </is>
      </c>
    </row>
    <row r="73">
      <c r="B73" s="4" t="inlineStr">
        <is>
          <t>PROJECAO ........... fluxo de caixa de 20 anos e payback de cada opcao</t>
        </is>
      </c>
    </row>
    <row r="74">
      <c r="B74" s="4" t="inlineStr">
        <is>
          <t>SIMULACAO_MENSAL ... consumo x geracao x banco de creditos mes a mes</t>
        </is>
      </c>
    </row>
    <row r="75">
      <c r="B75" s="4" t="inlineStr">
        <is>
          <t>CHECKLIST .......... o que exigir por escrito antes de assinar</t>
        </is>
      </c>
    </row>
    <row r="76">
      <c r="B76" s="4" t="inlineStr">
        <is>
          <t>NOVOS_ORCAMENTOS ... formulario para o Bruno G4 e proximos vendedores</t>
        </is>
      </c>
    </row>
    <row r="77">
      <c r="B77" s="4" t="inlineStr"/>
    </row>
    <row r="78">
      <c r="B78" s="3" t="inlineStr">
        <is>
          <t>6. AVISO TECNICO</t>
        </is>
      </c>
    </row>
    <row r="79">
      <c r="B79" s="4" t="inlineStr">
        <is>
          <t>Toda conclusao aqui e 'aparentemente adequada pelos dados fornecidos'. Nada esta 'confirmado apos inspecao tecnica'.</t>
        </is>
      </c>
    </row>
    <row r="80">
      <c r="B80" s="4" t="inlineStr">
        <is>
          <t>Estrutura do telhado, quadro eletrico, aterramento, padrao de entrada e area util exigem visita de profissional</t>
        </is>
      </c>
    </row>
    <row r="81">
      <c r="B81" s="4" t="inlineStr">
        <is>
          <t>habilitado com CREA ou CFT e ART emitida. Nao foram enviadas fotos do telhado, portanto a area disponivel e a</t>
        </is>
      </c>
    </row>
    <row r="82">
      <c r="B82" s="4" t="inlineStr">
        <is>
          <t>quantidade real de placas que cabem NAO foram avaliadas nesta analise.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7" customWidth="1" min="3" max="3"/>
    <col width="12" customWidth="1" min="4" max="4"/>
    <col width="70" customWidth="1" min="5" max="5"/>
  </cols>
  <sheetData>
    <row r="1">
      <c r="A1" s="1" t="inlineStr">
        <is>
          <t>ENTRADAS - DADOS DE PARTIDA</t>
        </is>
      </c>
    </row>
    <row r="2">
      <c r="A2" s="2" t="inlineStr">
        <is>
          <t>Edite apenas as celulas AMARELAS. Os dados da conta ja sao REAIS (extraidos da fatura). Os dados do BYD ainda sao estimativa.</t>
        </is>
      </c>
    </row>
    <row r="4">
      <c r="B4" s="7" t="inlineStr">
        <is>
          <t>A) LOCAL E TELHADO</t>
        </is>
      </c>
      <c r="C4" s="8" t="n"/>
      <c r="D4" s="8" t="n"/>
      <c r="E4" s="8" t="n"/>
    </row>
    <row r="5">
      <c r="B5" s="4" t="inlineStr">
        <is>
          <t>Endereco da unidade consumidora</t>
        </is>
      </c>
      <c r="C5" s="9" t="inlineStr">
        <is>
          <t>Av Cel Sezefredo Fagundes 8482 CS 2</t>
        </is>
      </c>
      <c r="D5" s="2" t="inlineStr"/>
      <c r="E5" s="2" t="inlineStr">
        <is>
          <t>CONFIRMADO na fatura</t>
        </is>
      </c>
    </row>
    <row r="6">
      <c r="B6" s="4" t="inlineStr">
        <is>
          <t>Bairro / Cidade / CEP</t>
        </is>
      </c>
      <c r="C6" s="9" t="inlineStr">
        <is>
          <t>Jardim das Pedras - SAO PAULO/SP - 02367-075</t>
        </is>
      </c>
      <c r="D6" s="2" t="inlineStr"/>
      <c r="E6" s="10" t="inlineStr">
        <is>
          <t>ALERTA: a peca da TecSolarSP diz 'Franco da Rocha'. A conta diz SAO PAULO capital. Corrigir antes da homologacao</t>
        </is>
      </c>
    </row>
    <row r="7">
      <c r="B7" s="4" t="inlineStr">
        <is>
          <t>Distribuidora</t>
        </is>
      </c>
      <c r="C7" s="9" t="inlineStr">
        <is>
          <t>Enel SP (Eletropaulo Metropolitana)</t>
        </is>
      </c>
      <c r="D7" s="2" t="inlineStr"/>
      <c r="E7" s="2" t="inlineStr">
        <is>
          <t>CONFIRMADO na fatura - CNPJ 61.xxx.xxx/xxxx-93</t>
        </is>
      </c>
    </row>
    <row r="8">
      <c r="B8" s="4" t="inlineStr">
        <is>
          <t>Orientacao do telhado (azimute)</t>
        </is>
      </c>
      <c r="C8" s="9" t="inlineStr">
        <is>
          <t>Sudeste (SE)</t>
        </is>
      </c>
      <c r="D8" s="2" t="inlineStr"/>
      <c r="E8" s="2" t="inlineStr">
        <is>
          <t>Declarado pela TecSolarSP. Penaliza a geracao no hemisferio sul</t>
        </is>
      </c>
    </row>
    <row r="9">
      <c r="B9" s="4" t="inlineStr">
        <is>
          <t>Inclinacao do telhado</t>
        </is>
      </c>
      <c r="C9" s="11" t="n">
        <v>20</v>
      </c>
      <c r="D9" s="2" t="inlineStr">
        <is>
          <t>graus</t>
        </is>
      </c>
      <c r="E9" s="2" t="inlineStr">
        <is>
          <t>Declarado pela TecSolarSP</t>
        </is>
      </c>
    </row>
    <row r="10">
      <c r="B10" s="4" t="inlineStr">
        <is>
          <t>Tipo de telha</t>
        </is>
      </c>
      <c r="C10" s="9" t="inlineStr">
        <is>
          <t>A CONFIRMAR</t>
        </is>
      </c>
      <c r="D10" s="2" t="inlineStr"/>
      <c r="E10" s="10" t="inlineStr">
        <is>
          <t>ALERTA: TecSolarSP cotou FIBROCIMENTO e William cotou telha COLONIAL. Um dos dois nao viu o telhado</t>
        </is>
      </c>
    </row>
    <row r="11">
      <c r="B11" s="4" t="inlineStr">
        <is>
          <t>Sombreamento</t>
        </is>
      </c>
      <c r="C11" s="9" t="inlineStr">
        <is>
          <t>NAO AVALIADO</t>
        </is>
      </c>
      <c r="D11" s="2" t="inlineStr"/>
      <c r="E11" s="2" t="inlineStr">
        <is>
          <t>Nao foram enviadas fotos do telhado - area util e sombras nao foram verificadas</t>
        </is>
      </c>
    </row>
    <row r="13">
      <c r="B13" s="7" t="inlineStr">
        <is>
          <t>B) CONTA DE ENERGIA  (TODOS OS VALORES CONFIRMADOS NA FATURA DE JUL/2026)</t>
        </is>
      </c>
      <c r="C13" s="8" t="n"/>
      <c r="D13" s="8" t="n"/>
      <c r="E13" s="8" t="n"/>
    </row>
    <row r="14">
      <c r="B14" s="4" t="inlineStr">
        <is>
          <t>Classe / subgrupo / modalidade</t>
        </is>
      </c>
      <c r="C14" s="9" t="inlineStr">
        <is>
          <t>B1 Residencial Convencional</t>
        </is>
      </c>
      <c r="D14" s="2" t="inlineStr"/>
      <c r="E14" s="2" t="inlineStr">
        <is>
          <t>CONFIRMADO: 'B - B1 - CONVENCIONAL - Residencial'</t>
        </is>
      </c>
    </row>
    <row r="15">
      <c r="B15" s="4" t="inlineStr">
        <is>
          <t>Numero de fases do padrao ATUAL</t>
        </is>
      </c>
      <c r="C15" s="11" t="n">
        <v>1</v>
      </c>
      <c r="D15" s="2" t="inlineStr">
        <is>
          <t>fases</t>
        </is>
      </c>
      <c r="E15" s="2" t="inlineStr">
        <is>
          <t>CONFIRMADO na fatura: MONOFASICO (127 V na Enel SP)</t>
        </is>
      </c>
    </row>
    <row r="16">
      <c r="B16" s="4" t="inlineStr">
        <is>
          <t>Numero de fases DEPOIS do projeto</t>
        </is>
      </c>
      <c r="C16" s="11" t="n">
        <v>2</v>
      </c>
      <c r="D16" s="2" t="inlineStr">
        <is>
          <t>fases</t>
        </is>
      </c>
      <c r="E16" s="10" t="inlineStr">
        <is>
          <t>ALERTA: todos os inversores cotados sao de 220 V e exigem 2 fases. Este e o valor usado nos calculos</t>
        </is>
      </c>
    </row>
    <row r="17">
      <c r="B17" s="4" t="inlineStr">
        <is>
          <t>Custo de disponibilidade apos o projeto</t>
        </is>
      </c>
      <c r="C17" s="12">
        <f>IF(C16=1,30,IF(C16=2,50,100))</f>
        <v/>
      </c>
      <c r="D17" s="2" t="inlineStr">
        <is>
          <t>kWh/mes</t>
        </is>
      </c>
      <c r="E17" s="2" t="inlineStr">
        <is>
          <t>Minimo faturado todo mes. Sobe de 30 para 50 kWh ao virar bifasico - custo permanente</t>
        </is>
      </c>
    </row>
    <row r="18">
      <c r="B18" s="4" t="inlineStr">
        <is>
          <t>TARIFA EFETIVA TOTAL com tributos</t>
        </is>
      </c>
      <c r="C18" s="13" t="n">
        <v>1.02147</v>
      </c>
      <c r="D18" s="2" t="inlineStr">
        <is>
          <t>R$/kWh</t>
        </is>
      </c>
      <c r="E18" s="2" t="inlineStr">
        <is>
          <t>CONFIRMADO: R$ 551,59 de energia / 540 kWh. Inclui TUSD + TE + bandeira amarela + PIS/COFINS + ICMS 18%</t>
        </is>
      </c>
    </row>
    <row r="19">
      <c r="B19" s="4" t="inlineStr">
        <is>
          <t>TUSD com tributos</t>
        </is>
      </c>
      <c r="C19" s="13" t="n">
        <v>0.59643</v>
      </c>
      <c r="D19" s="2" t="inlineStr">
        <is>
          <t>R$/kWh</t>
        </is>
      </c>
      <c r="E19" s="2" t="inlineStr">
        <is>
          <t>CONFIRMADO na fatura (tarifa sem tributos: R$ 0,46394)</t>
        </is>
      </c>
    </row>
    <row r="20">
      <c r="B20" s="4" t="inlineStr">
        <is>
          <t>TE - Energia com tributos</t>
        </is>
      </c>
      <c r="C20" s="13" t="n">
        <v>0.40085</v>
      </c>
      <c r="D20" s="2" t="inlineStr">
        <is>
          <t>R$/kWh</t>
        </is>
      </c>
      <c r="E20" s="2" t="inlineStr">
        <is>
          <t>CONFIRMADO na fatura (tarifa sem tributos: R$ 0,31182)</t>
        </is>
      </c>
    </row>
    <row r="21">
      <c r="B21" s="4" t="inlineStr">
        <is>
          <t>Adicional de bandeira (amarela em jul/26)</t>
        </is>
      </c>
      <c r="C21" s="13" t="n">
        <v>0.02419</v>
      </c>
      <c r="D21" s="2" t="inlineStr">
        <is>
          <t>R$/kWh</t>
        </is>
      </c>
      <c r="E21" s="2" t="inlineStr">
        <is>
          <t>CONFIRMADO: R$ 13,06 / 540 kWh. Em bandeira verde este valor e zero</t>
        </is>
      </c>
    </row>
    <row r="22">
      <c r="B22" s="4" t="inlineStr">
        <is>
          <t>Parcela da TUSD que corresponde ao Fio B</t>
        </is>
      </c>
      <c r="C22" s="14" t="n">
        <v>0.6</v>
      </c>
      <c r="D22" s="2" t="inlineStr"/>
      <c r="E22" s="10" t="inlineStr">
        <is>
          <t>ESTIMATIVA - a fatura nao detalha o Fio B. Pedir a planilha tarifaria da Enel/ANEEL. Faixa usual: 55% a 70% da TUSD</t>
        </is>
      </c>
    </row>
    <row r="23">
      <c r="B23" s="4" t="inlineStr">
        <is>
          <t>TUSD Fio B com tributos</t>
        </is>
      </c>
      <c r="C23" s="15">
        <f>C19*C22</f>
        <v/>
      </c>
      <c r="D23" s="2" t="inlineStr">
        <is>
          <t>R$/kWh</t>
        </is>
      </c>
      <c r="E23" s="2" t="inlineStr">
        <is>
          <t>Base de cobranca sobre a energia compensada (Lei 14.300)</t>
        </is>
      </c>
    </row>
    <row r="24">
      <c r="B24" s="4" t="inlineStr">
        <is>
          <t>% do Fio B faturado em 2026</t>
        </is>
      </c>
      <c r="C24" s="14" t="n">
        <v>0.6</v>
      </c>
      <c r="D24" s="2" t="inlineStr"/>
      <c r="E24" s="2" t="inlineStr">
        <is>
          <t>Lei 14.300/2022: 60% em 2026, 75% em 2027, 90% em 2028, 100% de 2029 em diante</t>
        </is>
      </c>
    </row>
    <row r="25">
      <c r="B25" s="4" t="inlineStr">
        <is>
          <t>CUSTO EFETIVO DO FIO B HOJE</t>
        </is>
      </c>
      <c r="C25" s="15">
        <f>C23*C24</f>
        <v/>
      </c>
      <c r="D25" s="2" t="inlineStr">
        <is>
          <t>R$/kWh</t>
        </is>
      </c>
      <c r="E25" s="2" t="inlineStr">
        <is>
          <t>E o que voce paga por cada kWh compensado com credito</t>
        </is>
      </c>
    </row>
    <row r="26">
      <c r="B26" s="4" t="inlineStr">
        <is>
          <t>COSIP / iluminacao publica</t>
        </is>
      </c>
      <c r="C26" s="13" t="n">
        <v>21.11</v>
      </c>
      <c r="D26" s="2" t="inlineStr">
        <is>
          <t>R$/mes</t>
        </is>
      </c>
      <c r="E26" s="2" t="inlineStr">
        <is>
          <t>CONFIRMADO na fatura. NAO e compensada pela geracao solar</t>
        </is>
      </c>
    </row>
    <row r="27">
      <c r="B27" s="4" t="inlineStr">
        <is>
          <t>Inflacao energetica anual</t>
        </is>
      </c>
      <c r="C27" s="14" t="n">
        <v>0.07000000000000001</v>
      </c>
      <c r="D27" s="2" t="inlineStr">
        <is>
          <t>%/ano</t>
        </is>
      </c>
      <c r="E27" s="2" t="inlineStr">
        <is>
          <t>Premissa. A Enel aplicou +8,8% para residencial em 04/07/2026 (Res. Homologatoria 3.596/26)</t>
        </is>
      </c>
    </row>
    <row r="28">
      <c r="B28" s="4" t="inlineStr">
        <is>
          <t>Custo da adequacao do padrao (mono -&gt; bifasico)</t>
        </is>
      </c>
      <c r="C28" s="13" t="n">
        <v>2500</v>
      </c>
      <c r="D28" s="2" t="inlineStr">
        <is>
          <t>R$</t>
        </is>
      </c>
      <c r="E28" s="10" t="inlineStr">
        <is>
          <t>ESTIMATIVA - nenhum orcamento incluiu. Pedir orcamento de eletricista + taxa Enel. Aplicado a TODAS as opcoes</t>
        </is>
      </c>
    </row>
    <row r="30">
      <c r="B30" s="7" t="inlineStr">
        <is>
          <t>C) PREMISSAS TECNICAS DO SISTEMA FV</t>
        </is>
      </c>
      <c r="C30" s="8" t="n"/>
      <c r="D30" s="8" t="n"/>
      <c r="E30" s="8" t="n"/>
    </row>
    <row r="31">
      <c r="B31" s="4" t="inlineStr">
        <is>
          <t>Performance Ratio (PR)</t>
        </is>
      </c>
      <c r="C31" s="14" t="n">
        <v>0.79</v>
      </c>
      <c r="D31" s="2" t="inlineStr"/>
      <c r="E31" s="2" t="inlineStr">
        <is>
          <t>Perdas de ~21%: temperatura, sujeira, cabos, inversor, mismatch</t>
        </is>
      </c>
    </row>
    <row r="32">
      <c r="B32" s="4" t="inlineStr">
        <is>
          <t>PR do cenario conservador</t>
        </is>
      </c>
      <c r="C32" s="14" t="n">
        <v>0.72</v>
      </c>
      <c r="D32" s="2" t="inlineStr"/>
      <c r="E32" s="2" t="inlineStr">
        <is>
          <t>Usado na linha de sensibilidade do COMPARATIVO. William usou 0,70 na proposta dele</t>
        </is>
      </c>
    </row>
    <row r="33">
      <c r="B33" s="4" t="inlineStr">
        <is>
          <t>Degradacao no 1o ano</t>
        </is>
      </c>
      <c r="C33" s="14" t="n">
        <v>0.02</v>
      </c>
      <c r="D33" s="2" t="inlineStr"/>
      <c r="E33" s="2" t="inlineStr">
        <is>
          <t>Tipico de modulo novo</t>
        </is>
      </c>
    </row>
    <row r="34">
      <c r="B34" s="4" t="inlineStr">
        <is>
          <t>Degradacao dos anos seguintes</t>
        </is>
      </c>
      <c r="C34" s="14" t="n">
        <v>0.0045</v>
      </c>
      <c r="D34" s="2" t="inlineStr">
        <is>
          <t>%/ano</t>
        </is>
      </c>
      <c r="E34" s="2" t="inlineStr">
        <is>
          <t>N-type TOPCon ~0,40%/ano. PERC ~0,55%/ano - o modulo do William e PERC</t>
        </is>
      </c>
    </row>
    <row r="35">
      <c r="B35" s="4" t="inlineStr">
        <is>
          <t>Manutencao / limpeza (O&amp;M)</t>
        </is>
      </c>
      <c r="C35" s="13" t="n">
        <v>300</v>
      </c>
      <c r="D35" s="2" t="inlineStr">
        <is>
          <t>R$/ano</t>
        </is>
      </c>
      <c r="E35" s="2" t="inlineStr">
        <is>
          <t>Premissa: 2 limpezas por ano</t>
        </is>
      </c>
    </row>
    <row r="36">
      <c r="B36" s="4" t="inlineStr">
        <is>
          <t>Provisao anual para troca do inversor</t>
        </is>
      </c>
      <c r="C36" s="13" t="n">
        <v>150</v>
      </c>
      <c r="D36" s="2" t="inlineStr">
        <is>
          <t>R$/ano</t>
        </is>
      </c>
      <c r="E36" s="2" t="inlineStr">
        <is>
          <t>Inversor dura ~12 a 15 anos, o modulo dura 25+</t>
        </is>
      </c>
    </row>
    <row r="37">
      <c r="B37" s="4" t="inlineStr">
        <is>
          <t>Autoconsumo instantaneo</t>
        </is>
      </c>
      <c r="C37" s="14" t="n">
        <v>0.3</v>
      </c>
      <c r="D37" s="2" t="inlineStr"/>
      <c r="E37" s="2" t="inlineStr">
        <is>
          <t>Parcela usada no mesmo instante da geracao. Sobe muito se o BYD carregar de dia</t>
        </is>
      </c>
    </row>
    <row r="39">
      <c r="B39" s="7" t="inlineStr">
        <is>
          <t>D) BYD HIBRIDO  &gt;&gt;&gt; DADOS NAO INFORMADOS - TUDO AQUI E ESTIMATIVA &lt;&lt;&lt;</t>
        </is>
      </c>
      <c r="C39" s="8" t="n"/>
      <c r="D39" s="8" t="n"/>
      <c r="E39" s="8" t="n"/>
    </row>
    <row r="40">
      <c r="B40" s="4" t="inlineStr">
        <is>
          <t>Modelo do veiculo</t>
        </is>
      </c>
      <c r="C40" s="9" t="inlineStr">
        <is>
          <t>BYD Song Pro DM-i GL</t>
        </is>
      </c>
      <c r="D40" s="2" t="inlineStr"/>
      <c r="E40" s="2" t="inlineStr">
        <is>
          <t>INFORMADO pelo cliente</t>
        </is>
      </c>
    </row>
    <row r="41">
      <c r="B41" s="4" t="inlineStr">
        <is>
          <t>Capacidade da bateria</t>
        </is>
      </c>
      <c r="C41" s="16" t="n">
        <v>12.9</v>
      </c>
      <c r="D41" s="2" t="inlineStr">
        <is>
          <t>kWh</t>
        </is>
      </c>
      <c r="E41" s="10" t="inlineStr">
        <is>
          <t>ESTIMATIVA para o Song Pro DM-i - CONFIRMAR no manual, pois a versao GL pode diferir</t>
        </is>
      </c>
    </row>
    <row r="42">
      <c r="B42" s="4" t="inlineStr">
        <is>
          <t>Consumo eletrico do veiculo</t>
        </is>
      </c>
      <c r="C42" s="16" t="n">
        <v>16</v>
      </c>
      <c r="D42" s="2" t="inlineStr">
        <is>
          <t>kWh/100km</t>
        </is>
      </c>
      <c r="E42" s="10" t="inlineStr">
        <is>
          <t>ESTIMATIVA de uso real do Song Pro em modo eletrico. Faixa plausivel: 14 a 18 conforme trajeto e uso de ar-condicionado</t>
        </is>
      </c>
    </row>
    <row r="43">
      <c r="B43" s="4" t="inlineStr">
        <is>
          <t>Distancia percorrida por dia</t>
        </is>
      </c>
      <c r="C43" s="11" t="n">
        <v>80</v>
      </c>
      <c r="D43" s="2" t="inlineStr">
        <is>
          <t>km/dia</t>
        </is>
      </c>
      <c r="E43" s="2" t="inlineStr">
        <is>
          <t>INFORMADO pelo cliente</t>
        </is>
      </c>
    </row>
    <row r="44">
      <c r="B44" s="4" t="inlineStr">
        <is>
          <t>Dias de carregamento por mes</t>
        </is>
      </c>
      <c r="C44" s="11" t="n">
        <v>30</v>
      </c>
      <c r="D44" s="2" t="inlineStr">
        <is>
          <t>dias/mes</t>
        </is>
      </c>
      <c r="E44" s="2" t="inlineStr">
        <is>
          <t>INFORMADO pelo cliente: carrega todos os dias</t>
        </is>
      </c>
    </row>
    <row r="45">
      <c r="B45" s="4" t="inlineStr">
        <is>
          <t>Eficiencia de carregamento (tomada -&gt; bateria)</t>
        </is>
      </c>
      <c r="C45" s="14" t="n">
        <v>0.86</v>
      </c>
      <c r="D45" s="2" t="inlineStr"/>
      <c r="E45" s="2" t="inlineStr">
        <is>
          <t>Perdas do carregador AC, do BMS e termicas. Faixa tecnica de 85% a 90%</t>
        </is>
      </c>
    </row>
    <row r="46">
      <c r="B46" s="4" t="inlineStr">
        <is>
          <t>Potencia do carregador (kW = POTENCIA)</t>
        </is>
      </c>
      <c r="C46" s="16" t="n">
        <v>3.3</v>
      </c>
      <c r="D46" s="2" t="inlineStr">
        <is>
          <t>kW</t>
        </is>
      </c>
      <c r="E46" s="10" t="inlineStr">
        <is>
          <t>ESTIMATIVA: carregador AC embarcado do Song Pro DM-i. CONFIRMAR - define disjuntor e cabo</t>
        </is>
      </c>
    </row>
    <row r="47">
      <c r="B47" s="4" t="inlineStr">
        <is>
          <t>Objetivo declarado</t>
        </is>
      </c>
      <c r="C47" s="9" t="inlineStr">
        <is>
          <t>RODAR TUDO NO ELETRICO</t>
        </is>
      </c>
      <c r="D47" s="2" t="inlineStr"/>
      <c r="E47" s="2" t="inlineStr">
        <is>
          <t>INFORMADO pelo cliente. Exige DUAS cargas por dia - ver bloco 7 da aba BYD</t>
        </is>
      </c>
    </row>
    <row r="48">
      <c r="B48" s="4" t="inlineStr">
        <is>
          <t>Margem de crescimento futuro do consumo</t>
        </is>
      </c>
      <c r="C48" s="14" t="n">
        <v>0.15</v>
      </c>
      <c r="D48" s="2" t="inlineStr"/>
      <c r="E48" s="2" t="inlineStr">
        <is>
          <t>Premissa para o Cenario 3. A conta ja mostra alta de 22% em 6 meses e 39% ano a ano</t>
        </is>
      </c>
    </row>
    <row r="49">
      <c r="B49" s="4" t="inlineStr">
        <is>
          <t>Reserva da bateria mantida para o modo hibrido</t>
        </is>
      </c>
      <c r="C49" s="14" t="n">
        <v>0.25</v>
      </c>
      <c r="D49" s="2" t="inlineStr"/>
      <c r="E49" s="2" t="inlineStr">
        <is>
          <t>Os DM-i nao esvaziam a bateria: guardam uma reserva para operar como hibrido. ESTIMATIVA de 25%</t>
        </is>
      </c>
    </row>
    <row r="51">
      <c r="B51" s="7" t="inlineStr">
        <is>
          <t>E) BASE DE DIMENSIONAMENTO (calculada da conta real)</t>
        </is>
      </c>
      <c r="C51" s="8" t="n"/>
      <c r="D51" s="8" t="n"/>
      <c r="E51" s="8" t="n"/>
    </row>
    <row r="52">
      <c r="B52" s="4" t="inlineStr">
        <is>
          <t>Base residencial PURA - 10 meses antes do degrau</t>
        </is>
      </c>
      <c r="C52" s="12">
        <f>CONTA!C77*30.4</f>
        <v/>
      </c>
      <c r="D52" s="2" t="inlineStr">
        <is>
          <t>kWh/mes</t>
        </is>
      </c>
      <c r="E52" s="2" t="inlineStr">
        <is>
          <t>352 kWh/mes. E a base USADA nos cenarios, partindo do principio de que o degrau de maio ja e carga do carro</t>
        </is>
      </c>
    </row>
    <row r="53">
      <c r="B53" s="4" t="inlineStr">
        <is>
          <t>Alternativa: consumo atual medido (com o degrau)</t>
        </is>
      </c>
      <c r="C53" s="12">
        <f>CONTA!C78*30.4</f>
        <v/>
      </c>
      <c r="D53" s="2" t="inlineStr">
        <is>
          <t>kWh/mes</t>
        </is>
      </c>
      <c r="E53" s="2" t="inlineStr">
        <is>
          <t>468 kWh/mes. Use esta se o degrau for OUTRA carga nova e nao o carro - ver bloco 6 da aba BYD</t>
        </is>
      </c>
    </row>
    <row r="54">
      <c r="B54" s="4" t="inlineStr">
        <is>
          <t>Custo marginal por modulo adicional (instalado)</t>
        </is>
      </c>
      <c r="C54" s="13" t="n">
        <v>900</v>
      </c>
      <c r="D54" s="2" t="inlineStr">
        <is>
          <t>R$/modulo</t>
        </is>
      </c>
      <c r="E54" s="10" t="inlineStr">
        <is>
          <t>ESTIMATIVA: modulo + estrutura + cabo + mao de obra, SEM inversor. Usado nas colunas de simulacao G12 e G14. PEDIR O VALOR REAL AO YURI</t>
        </is>
      </c>
    </row>
    <row r="56">
      <c r="B56" s="7" t="inlineStr">
        <is>
          <t>F) PADRAO REAL DE CARREGAMENTO (informado pelo cliente)</t>
        </is>
      </c>
      <c r="C56" s="8" t="n"/>
      <c r="D56" s="8" t="n"/>
      <c r="E56" s="8" t="n"/>
    </row>
    <row r="57">
      <c r="B57" s="4" t="inlineStr">
        <is>
          <t>Reposicao media por carga</t>
        </is>
      </c>
      <c r="C57" s="14" t="n">
        <v>0.5</v>
      </c>
      <c r="D57" s="2" t="inlineStr">
        <is>
          <t>da bateria</t>
        </is>
      </c>
      <c r="E57" s="2" t="inlineStr">
        <is>
          <t>INFORMADO: recarrega em media 50% da bateria por sessao</t>
        </is>
      </c>
    </row>
    <row r="58">
      <c r="B58" s="4" t="inlineStr">
        <is>
          <t>Cargas por dia</t>
        </is>
      </c>
      <c r="C58" s="11" t="n">
        <v>1</v>
      </c>
      <c r="D58" s="2" t="inlineStr">
        <is>
          <t>cargas/dia</t>
        </is>
      </c>
      <c r="E58" s="2" t="inlineStr">
        <is>
          <t>INFORMADO: uma carga por dia</t>
        </is>
      </c>
    </row>
    <row r="60">
      <c r="B60" s="7" t="inlineStr">
        <is>
          <t>G) COMBUSTIVEL (para comparar eletrico x gasolina)</t>
        </is>
      </c>
      <c r="C60" s="8" t="n"/>
      <c r="D60" s="8" t="n"/>
      <c r="E60" s="8" t="n"/>
    </row>
    <row r="61">
      <c r="B61" s="4" t="inlineStr">
        <is>
          <t>Consumo em modo hibrido</t>
        </is>
      </c>
      <c r="C61" s="16" t="n">
        <v>16</v>
      </c>
      <c r="D61" s="2" t="inlineStr">
        <is>
          <t>km/litro</t>
        </is>
      </c>
      <c r="E61" s="10" t="inlineStr">
        <is>
          <t>ESTIMATIVA para o Song Pro DM-i rodando como hibrido. Faixa plausivel: 15 a 20 km/l</t>
        </is>
      </c>
    </row>
    <row r="62">
      <c r="B62" s="4" t="inlineStr">
        <is>
          <t>Preco da gasolina</t>
        </is>
      </c>
      <c r="C62" s="13" t="n">
        <v>6.2</v>
      </c>
      <c r="D62" s="2" t="inlineStr">
        <is>
          <t>R$/litro</t>
        </is>
      </c>
      <c r="E62" s="10" t="inlineStr">
        <is>
          <t>ESTIMATIVA. Ajuste para o preco que voce paga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5" customWidth="1" min="3" max="3"/>
    <col width="9" customWidth="1" min="4" max="4"/>
    <col width="13" customWidth="1" min="5" max="5"/>
    <col width="3" customWidth="1" min="6" max="6"/>
    <col width="42" customWidth="1" min="7" max="7"/>
    <col width="16" customWidth="1" min="8" max="8"/>
    <col width="52" customWidth="1" min="9" max="9"/>
  </cols>
  <sheetData>
    <row r="1">
      <c r="A1" s="1" t="inlineStr">
        <is>
          <t>ANALISE DA CONTA DE ENERGIA - DADOS REAIS DA FATURA</t>
        </is>
      </c>
    </row>
    <row r="2">
      <c r="A2" s="2" t="inlineStr">
        <is>
          <t>Fonte: fatura Enel SP no 599307231012, ref. 07/2026, UC 0118487990 / 100242856108, NF 085726810 emitida em 30/07/2026.</t>
        </is>
      </c>
    </row>
    <row r="4">
      <c r="B4" s="7" t="inlineStr">
        <is>
          <t>HISTORICO DE 13 MESES (impresso na fatura)</t>
        </is>
      </c>
      <c r="C4" s="8" t="n"/>
      <c r="D4" s="8" t="n"/>
      <c r="E4" s="8" t="n"/>
      <c r="G4" s="7" t="inlineStr">
        <is>
          <t>DECOMPOSICAO DA FATURA DE JUL/2026 (540 kWh)</t>
        </is>
      </c>
      <c r="H4" s="8" t="n"/>
      <c r="I4" s="8" t="n"/>
    </row>
    <row r="5">
      <c r="B5" s="17" t="inlineStr">
        <is>
          <t>Mes/Ano</t>
        </is>
      </c>
      <c r="C5" s="17" t="inlineStr">
        <is>
          <t>Consumo (kWh)</t>
        </is>
      </c>
      <c r="D5" s="17" t="inlineStr">
        <is>
          <t>Dias</t>
        </is>
      </c>
      <c r="E5" s="17" t="inlineStr">
        <is>
          <t>Media (kWh/dia)</t>
        </is>
      </c>
      <c r="G5" s="4" t="inlineStr">
        <is>
          <t>USO DO SISTEMA DE DISTRIBUICAO (TUSD)</t>
        </is>
      </c>
      <c r="H5" s="13" t="n">
        <v>322.07</v>
      </c>
      <c r="I5" s="2" t="inlineStr">
        <is>
          <t>540 kWh x R$ 0,59643 com tributos (tarifa base R$ 0,46394)</t>
        </is>
      </c>
    </row>
    <row r="6">
      <c r="B6" s="18" t="inlineStr">
        <is>
          <t>Jul/25</t>
        </is>
      </c>
      <c r="C6" s="11" t="n">
        <v>389</v>
      </c>
      <c r="D6" s="11" t="n">
        <v>32</v>
      </c>
      <c r="E6" s="19">
        <f>IFERROR(C6/D6,0)</f>
        <v/>
      </c>
      <c r="G6" s="4" t="inlineStr">
        <is>
          <t>ENERGIA (TE)</t>
        </is>
      </c>
      <c r="H6" s="13" t="n">
        <v>216.46</v>
      </c>
      <c r="I6" s="2" t="inlineStr">
        <is>
          <t>540 kWh x R$ 0,40085 com tributos (tarifa base R$ 0,31182)</t>
        </is>
      </c>
    </row>
    <row r="7">
      <c r="B7" s="18" t="inlineStr">
        <is>
          <t>Ago/25</t>
        </is>
      </c>
      <c r="C7" s="11" t="n">
        <v>364</v>
      </c>
      <c r="D7" s="11" t="n">
        <v>31</v>
      </c>
      <c r="E7" s="19">
        <f>IFERROR(C7/D7,0)</f>
        <v/>
      </c>
      <c r="G7" s="4" t="inlineStr">
        <is>
          <t>ADICIONAL DE BANDEIRA AMARELA</t>
        </is>
      </c>
      <c r="H7" s="13" t="n">
        <v>13.06</v>
      </c>
      <c r="I7" s="2" t="inlineStr">
        <is>
          <t>Bandeira aplicada no mes: AMARELA. Em bandeira verde este item e zero</t>
        </is>
      </c>
    </row>
    <row r="8">
      <c r="B8" s="18" t="inlineStr">
        <is>
          <t>Set/25</t>
        </is>
      </c>
      <c r="C8" s="20" t="n">
        <v>290</v>
      </c>
      <c r="D8" s="11" t="n">
        <v>29</v>
      </c>
      <c r="E8" s="19">
        <f>IFERROR(C8/D8,0)</f>
        <v/>
      </c>
      <c r="G8" s="21" t="inlineStr">
        <is>
          <t>Subtotal de faturamento (energia)</t>
        </is>
      </c>
      <c r="H8" s="22" t="n">
        <v>551.59</v>
      </c>
      <c r="I8" s="2" t="inlineStr">
        <is>
          <t>Base de calculo do ICMS</t>
        </is>
      </c>
    </row>
    <row r="9">
      <c r="B9" s="18" t="inlineStr">
        <is>
          <t>Out/25</t>
        </is>
      </c>
      <c r="C9" s="11" t="n">
        <v>375</v>
      </c>
      <c r="D9" s="11" t="n">
        <v>32</v>
      </c>
      <c r="E9" s="19">
        <f>IFERROR(C9/D9,0)</f>
        <v/>
      </c>
      <c r="G9" s="4" t="inlineStr">
        <is>
          <t>COSIP - iluminacao publica municipal</t>
        </is>
      </c>
      <c r="H9" s="13" t="n">
        <v>21.11</v>
      </c>
      <c r="I9" s="2" t="inlineStr">
        <is>
          <t>Cobrada pela Prefeitura. A geracao solar NAO reduz este item</t>
        </is>
      </c>
    </row>
    <row r="10">
      <c r="B10" s="18" t="inlineStr">
        <is>
          <t>Nov/25</t>
        </is>
      </c>
      <c r="C10" s="11" t="n">
        <v>337</v>
      </c>
      <c r="D10" s="11" t="n">
        <v>30</v>
      </c>
      <c r="E10" s="19">
        <f>IFERROR(C10/D10,0)</f>
        <v/>
      </c>
      <c r="G10" s="21" t="inlineStr">
        <is>
          <t>TOTAL DA FATURA</t>
        </is>
      </c>
      <c r="H10" s="22" t="n">
        <v>572.7</v>
      </c>
      <c r="I10" s="2" t="inlineStr">
        <is>
          <t>Vencimento 14/08/2026</t>
        </is>
      </c>
    </row>
    <row r="11">
      <c r="B11" s="18" t="inlineStr">
        <is>
          <t>Dez/25</t>
        </is>
      </c>
      <c r="C11" s="11" t="n">
        <v>323</v>
      </c>
      <c r="D11" s="11" t="n">
        <v>29</v>
      </c>
      <c r="E11" s="19">
        <f>IFERROR(C11/D11,0)</f>
        <v/>
      </c>
      <c r="G11" s="21" t="inlineStr">
        <is>
          <t>TARIFA EFETIVA  =  551,59 / 540</t>
        </is>
      </c>
      <c r="H11" s="23">
        <f>IFERROR(H8/540,0)</f>
        <v/>
      </c>
      <c r="I11" s="2" t="inlineStr">
        <is>
          <t>R$ 1,0215/kWh. E a tarifa usada em toda a planilha.</t>
        </is>
      </c>
    </row>
    <row r="12">
      <c r="B12" s="18" t="inlineStr">
        <is>
          <t>Jan/26</t>
        </is>
      </c>
      <c r="C12" s="11" t="n">
        <v>372</v>
      </c>
      <c r="D12" s="11" t="n">
        <v>32</v>
      </c>
      <c r="E12" s="19">
        <f>IFERROR(C12/D12,0)</f>
        <v/>
      </c>
    </row>
    <row r="13">
      <c r="B13" s="18" t="inlineStr">
        <is>
          <t>Fev/26</t>
        </is>
      </c>
      <c r="C13" s="11" t="n">
        <v>348</v>
      </c>
      <c r="D13" s="11" t="n">
        <v>30</v>
      </c>
      <c r="E13" s="19">
        <f>IFERROR(C13/D13,0)</f>
        <v/>
      </c>
      <c r="G13" s="3" t="inlineStr">
        <is>
          <t>TRIBUTOS EMBUTIDOS NA FATURA</t>
        </is>
      </c>
    </row>
    <row r="14">
      <c r="B14" s="18" t="inlineStr">
        <is>
          <t>Mar/26</t>
        </is>
      </c>
      <c r="C14" s="11" t="n">
        <v>354</v>
      </c>
      <c r="D14" s="11" t="n">
        <v>29</v>
      </c>
      <c r="E14" s="19">
        <f>IFERROR(C14/D14,0)</f>
        <v/>
      </c>
      <c r="G14" s="4" t="inlineStr">
        <is>
          <t>PIS/PASEP - base R$ 452,31 a 0,92%</t>
        </is>
      </c>
      <c r="H14" s="13" t="n">
        <v>4.14</v>
      </c>
      <c r="I14" s="2" t="inlineStr">
        <is>
          <t>Incide antes do ICMS</t>
        </is>
      </c>
    </row>
    <row r="15">
      <c r="B15" s="18" t="inlineStr">
        <is>
          <t>Abr/26</t>
        </is>
      </c>
      <c r="C15" s="11" t="n">
        <v>394</v>
      </c>
      <c r="D15" s="11" t="n">
        <v>32</v>
      </c>
      <c r="E15" s="19">
        <f>IFERROR(C15/D15,0)</f>
        <v/>
      </c>
      <c r="G15" s="4" t="inlineStr">
        <is>
          <t>COFINS - base R$ 452,31 a 4,23%</t>
        </is>
      </c>
      <c r="H15" s="13" t="n">
        <v>19.12</v>
      </c>
      <c r="I15" s="2" t="inlineStr">
        <is>
          <t>Incide antes do ICMS</t>
        </is>
      </c>
    </row>
    <row r="16">
      <c r="B16" s="18" t="inlineStr">
        <is>
          <t>Mai/26</t>
        </is>
      </c>
      <c r="C16" s="11" t="n">
        <v>457</v>
      </c>
      <c r="D16" s="11" t="n">
        <v>30</v>
      </c>
      <c r="E16" s="19">
        <f>IFERROR(C16/D16,0)</f>
        <v/>
      </c>
      <c r="G16" s="4" t="inlineStr">
        <is>
          <t>ICMS - base R$ 551,59 a 18%</t>
        </is>
      </c>
      <c r="H16" s="13" t="n">
        <v>99.28</v>
      </c>
      <c r="I16" s="2" t="inlineStr">
        <is>
          <t>Maior tributo da conta</t>
        </is>
      </c>
    </row>
    <row r="17">
      <c r="B17" s="18" t="inlineStr">
        <is>
          <t>Jun/26</t>
        </is>
      </c>
      <c r="C17" s="11" t="n">
        <v>422</v>
      </c>
      <c r="D17" s="11" t="n">
        <v>29</v>
      </c>
      <c r="E17" s="19">
        <f>IFERROR(C17/D17,0)</f>
        <v/>
      </c>
      <c r="G17" s="21" t="inlineStr">
        <is>
          <t>TOTAL DE TRIBUTOS</t>
        </is>
      </c>
      <c r="H17" s="22" t="n">
        <v>122.54</v>
      </c>
      <c r="I17" s="2" t="inlineStr">
        <is>
          <t>21,4% do valor total da fatura</t>
        </is>
      </c>
    </row>
    <row r="18">
      <c r="B18" s="18" t="inlineStr">
        <is>
          <t>Jul/26</t>
        </is>
      </c>
      <c r="C18" s="24" t="n">
        <v>540</v>
      </c>
      <c r="D18" s="11" t="n">
        <v>33</v>
      </c>
      <c r="E18" s="19">
        <f>IFERROR(C18/D18,0)</f>
        <v/>
      </c>
    </row>
    <row r="19">
      <c r="B19" s="2" t="inlineStr">
        <is>
          <t>Linha 6 = Jul/25 (mes mais antigo). Linha 18 = Jul/26 (mes atual). Verde = menor consumo. Vermelho = maior consumo.</t>
        </is>
      </c>
      <c r="G19" s="3" t="inlineStr">
        <is>
          <t>DADOS DA UNIDADE CONSUMIDORA</t>
        </is>
      </c>
    </row>
    <row r="20">
      <c r="G20" s="4" t="inlineStr">
        <is>
          <t>Distribuidora</t>
        </is>
      </c>
      <c r="H20" s="25" t="inlineStr">
        <is>
          <t>Enel SP - Eletropaulo Metropolitana</t>
        </is>
      </c>
    </row>
    <row r="21">
      <c r="B21" s="7" t="inlineStr">
        <is>
          <t>ESTATISTICAS DOS 12 MESES MAIS RECENTES (Ago/25 a Jul/26)</t>
        </is>
      </c>
      <c r="C21" s="8" t="n"/>
      <c r="D21" s="8" t="n"/>
      <c r="E21" s="8" t="n"/>
      <c r="G21" s="4" t="inlineStr">
        <is>
          <t>Unidade consumidora</t>
        </is>
      </c>
      <c r="H21" s="25" t="inlineStr">
        <is>
          <t>0118487990 / 100242856108</t>
        </is>
      </c>
    </row>
    <row r="22">
      <c r="B22" s="21" t="inlineStr">
        <is>
          <t>TOTAL ANUAL</t>
        </is>
      </c>
      <c r="C22" s="26">
        <f>SUM(C7:C18)</f>
        <v/>
      </c>
      <c r="D22" s="2" t="inlineStr">
        <is>
          <t>kWh/ano</t>
        </is>
      </c>
      <c r="G22" s="4" t="inlineStr">
        <is>
          <t>Numero do cliente</t>
        </is>
      </c>
      <c r="H22" s="25" t="inlineStr">
        <is>
          <t>24186384</t>
        </is>
      </c>
    </row>
    <row r="23">
      <c r="B23" s="4" t="inlineStr">
        <is>
          <t>CONSUMO MEDIO MENSAL  =  soma / 12</t>
        </is>
      </c>
      <c r="C23" s="27">
        <f>C22/12</f>
        <v/>
      </c>
      <c r="D23" s="2" t="inlineStr">
        <is>
          <t>kWh/mes</t>
        </is>
      </c>
      <c r="G23" s="4" t="inlineStr">
        <is>
          <t>Classe / subgrupo / modalidade</t>
        </is>
      </c>
      <c r="H23" s="25" t="inlineStr">
        <is>
          <t>B - B1 - Convencional - Residencial</t>
        </is>
      </c>
    </row>
    <row r="24">
      <c r="B24" s="4" t="inlineStr">
        <is>
          <t>Total de dias faturados</t>
        </is>
      </c>
      <c r="C24" s="12">
        <f>SUM(D7:D18)</f>
        <v/>
      </c>
      <c r="D24" s="2" t="inlineStr">
        <is>
          <t>dias</t>
        </is>
      </c>
      <c r="G24" s="4" t="inlineStr">
        <is>
          <t>TIPO DE LIGACAO</t>
        </is>
      </c>
      <c r="H24" s="28" t="inlineStr">
        <is>
          <t>MONOFASICO</t>
        </is>
      </c>
    </row>
    <row r="25">
      <c r="B25" s="4" t="inlineStr">
        <is>
          <t>Consumo medio diario</t>
        </is>
      </c>
      <c r="C25" s="29">
        <f>IFERROR(C22/C24,0)</f>
        <v/>
      </c>
      <c r="D25" s="2" t="inlineStr">
        <is>
          <t>kWh/dia</t>
        </is>
      </c>
      <c r="G25" s="4" t="inlineStr">
        <is>
          <t>Bandeira tarifaria do mes</t>
        </is>
      </c>
      <c r="H25" s="28" t="inlineStr">
        <is>
          <t>AMARELA</t>
        </is>
      </c>
    </row>
    <row r="26">
      <c r="B26" s="4" t="inlineStr">
        <is>
          <t>MAIOR CONSUMO (Jul/26)</t>
        </is>
      </c>
      <c r="C26" s="12">
        <f>MAX(C7:C18)</f>
        <v/>
      </c>
      <c r="D26" s="2" t="inlineStr">
        <is>
          <t>kWh</t>
        </is>
      </c>
      <c r="G26" s="4" t="inlineStr">
        <is>
          <t>Periodo de leitura</t>
        </is>
      </c>
      <c r="H26" s="25" t="inlineStr">
        <is>
          <t>26/06/2026 a 29/07/2026 - 33 dias</t>
        </is>
      </c>
    </row>
    <row r="27">
      <c r="B27" s="4" t="inlineStr">
        <is>
          <t>MENOR CONSUMO (Set/25)</t>
        </is>
      </c>
      <c r="C27" s="12">
        <f>MIN(C7:C18)</f>
        <v/>
      </c>
      <c r="D27" s="2" t="inlineStr">
        <is>
          <t>kWh</t>
        </is>
      </c>
      <c r="G27" s="4" t="inlineStr">
        <is>
          <t>Proxima leitura prevista</t>
        </is>
      </c>
      <c r="H27" s="25" t="inlineStr">
        <is>
          <t>27/08/2026</t>
        </is>
      </c>
    </row>
    <row r="28">
      <c r="B28" s="4" t="inlineStr">
        <is>
          <t>Amplitude maior / menor</t>
        </is>
      </c>
      <c r="C28" s="30">
        <f>IFERROR(C26/C27-1,0)</f>
        <v/>
      </c>
      <c r="D28" s="2" t="inlineStr"/>
      <c r="G28" s="4" t="inlineStr">
        <is>
          <t>Medidor</t>
        </is>
      </c>
      <c r="H28" s="25" t="inlineStr">
        <is>
          <t>UQM9HDN25C01281527</t>
        </is>
      </c>
    </row>
    <row r="29">
      <c r="B29" s="4" t="inlineStr">
        <is>
          <t>Consumo do mes atual (Jul/26)</t>
        </is>
      </c>
      <c r="C29" s="12">
        <f>C18</f>
        <v/>
      </c>
      <c r="D29" s="2" t="inlineStr">
        <is>
          <t>kWh</t>
        </is>
      </c>
      <c r="G29" s="4" t="inlineStr">
        <is>
          <t>Leitura anterior / atual</t>
        </is>
      </c>
      <c r="H29" s="25" t="inlineStr">
        <is>
          <t>3.458 -&gt; 3.998 (constante 1,0)</t>
        </is>
      </c>
    </row>
    <row r="30">
      <c r="B30" s="4" t="inlineStr">
        <is>
          <t>Mes atual x media dos 12 meses</t>
        </is>
      </c>
      <c r="C30" s="30">
        <f>IFERROR(C29/C23-1,0)</f>
        <v/>
      </c>
      <c r="D30" s="2" t="inlineStr"/>
      <c r="G30" s="4" t="inlineStr">
        <is>
          <t>Reajuste tarifario vigente</t>
        </is>
      </c>
      <c r="H30" s="25" t="inlineStr">
        <is>
          <t>+8,8% residencial em 04/07/2026 (Res. Hom. ANEEL 3.596/26)</t>
        </is>
      </c>
    </row>
    <row r="31">
      <c r="B31" s="4" t="inlineStr">
        <is>
          <t>Media dos 6 meses mais antigos (Ago/25 a Jan/26)</t>
        </is>
      </c>
      <c r="C31" s="29">
        <f>AVERAGE(C7:C12)</f>
        <v/>
      </c>
      <c r="D31" s="2" t="inlineStr">
        <is>
          <t>kWh/mes</t>
        </is>
      </c>
      <c r="G31" s="4" t="inlineStr">
        <is>
          <t>Custo de disponibilidade hoje (monofasico)</t>
        </is>
      </c>
      <c r="H31" s="25" t="inlineStr">
        <is>
          <t>30 kWh/mes</t>
        </is>
      </c>
    </row>
    <row r="32">
      <c r="B32" s="4" t="inlineStr">
        <is>
          <t>Media dos 6 meses mais recentes (Fev/26 a Jul/26)</t>
        </is>
      </c>
      <c r="C32" s="29">
        <f>AVERAGE(C13:C18)</f>
        <v/>
      </c>
      <c r="D32" s="2" t="inlineStr">
        <is>
          <t>kWh/mes</t>
        </is>
      </c>
      <c r="G32" s="4" t="inlineStr">
        <is>
          <t>Custo de disponibilidade se virar bifasico</t>
        </is>
      </c>
      <c r="H32" s="25" t="inlineStr">
        <is>
          <t>50 kWh/mes</t>
        </is>
      </c>
    </row>
    <row r="33">
      <c r="B33" s="4" t="inlineStr">
        <is>
          <t>TENDENCIA - recentes x antigos</t>
        </is>
      </c>
      <c r="C33" s="31">
        <f>IFERROR(C32/C31-1,0)</f>
        <v/>
      </c>
      <c r="D33" s="2" t="inlineStr">
        <is>
          <t>semestre contra semestre</t>
        </is>
      </c>
      <c r="G33" s="4" t="inlineStr">
        <is>
          <t>DEC / FEC do conjunto (ano)</t>
        </is>
      </c>
      <c r="H33" s="25" t="inlineStr">
        <is>
          <t>DEC 7,46 h  /  FEC 4,25 interrupcoes</t>
        </is>
      </c>
    </row>
    <row r="34">
      <c r="B34" s="4" t="inlineStr">
        <is>
          <t>MESMO MES, ANO ANTERIOR: Jul/25 x Jul/26</t>
        </is>
      </c>
      <c r="C34" s="31">
        <f>IFERROR(C18/C6-1,0)</f>
        <v/>
      </c>
      <c r="D34" s="2" t="inlineStr">
        <is>
          <t>compara so julho com julho</t>
        </is>
      </c>
    </row>
    <row r="36">
      <c r="B36" s="7" t="inlineStr">
        <is>
          <t>TABELA EM ORDEM DE CALENDARIO (usada na aba SIMULACAO_MENSAL)</t>
        </is>
      </c>
      <c r="C36" s="8" t="n"/>
      <c r="D36" s="8" t="n"/>
      <c r="E36" s="8" t="n"/>
    </row>
    <row r="37">
      <c r="B37" s="17" t="inlineStr">
        <is>
          <t>Mes</t>
        </is>
      </c>
      <c r="C37" s="17" t="inlineStr">
        <is>
          <t>Consumo (kWh)</t>
        </is>
      </c>
      <c r="D37" s="17" t="inlineStr">
        <is>
          <t>Referencia</t>
        </is>
      </c>
    </row>
    <row r="38">
      <c r="B38" s="18" t="inlineStr">
        <is>
          <t>Jan</t>
        </is>
      </c>
      <c r="C38" s="32">
        <f>C12</f>
        <v/>
      </c>
      <c r="D38" s="33" t="inlineStr">
        <is>
          <t>Jan/26</t>
        </is>
      </c>
    </row>
    <row r="39">
      <c r="B39" s="18" t="inlineStr">
        <is>
          <t>Fev</t>
        </is>
      </c>
      <c r="C39" s="32">
        <f>C13</f>
        <v/>
      </c>
      <c r="D39" s="33" t="inlineStr">
        <is>
          <t>Fev/26</t>
        </is>
      </c>
    </row>
    <row r="40">
      <c r="B40" s="18" t="inlineStr">
        <is>
          <t>Mar</t>
        </is>
      </c>
      <c r="C40" s="32">
        <f>C14</f>
        <v/>
      </c>
      <c r="D40" s="33" t="inlineStr">
        <is>
          <t>Mar/26</t>
        </is>
      </c>
    </row>
    <row r="41">
      <c r="B41" s="18" t="inlineStr">
        <is>
          <t>Abr</t>
        </is>
      </c>
      <c r="C41" s="32">
        <f>C15</f>
        <v/>
      </c>
      <c r="D41" s="33" t="inlineStr">
        <is>
          <t>Abr/26</t>
        </is>
      </c>
    </row>
    <row r="42">
      <c r="B42" s="18" t="inlineStr">
        <is>
          <t>Mai</t>
        </is>
      </c>
      <c r="C42" s="32">
        <f>C16</f>
        <v/>
      </c>
      <c r="D42" s="33" t="inlineStr">
        <is>
          <t>Mai/26</t>
        </is>
      </c>
    </row>
    <row r="43">
      <c r="B43" s="18" t="inlineStr">
        <is>
          <t>Jun</t>
        </is>
      </c>
      <c r="C43" s="32">
        <f>C17</f>
        <v/>
      </c>
      <c r="D43" s="33" t="inlineStr">
        <is>
          <t>Jun/26</t>
        </is>
      </c>
    </row>
    <row r="44">
      <c r="B44" s="18" t="inlineStr">
        <is>
          <t>Jul</t>
        </is>
      </c>
      <c r="C44" s="32">
        <f>C18</f>
        <v/>
      </c>
      <c r="D44" s="33" t="inlineStr">
        <is>
          <t>Jul/26</t>
        </is>
      </c>
    </row>
    <row r="45">
      <c r="B45" s="18" t="inlineStr">
        <is>
          <t>Ago</t>
        </is>
      </c>
      <c r="C45" s="32">
        <f>C7</f>
        <v/>
      </c>
      <c r="D45" s="33" t="inlineStr">
        <is>
          <t>Ago/25</t>
        </is>
      </c>
    </row>
    <row r="46">
      <c r="B46" s="18" t="inlineStr">
        <is>
          <t>Set</t>
        </is>
      </c>
      <c r="C46" s="32">
        <f>C8</f>
        <v/>
      </c>
      <c r="D46" s="33" t="inlineStr">
        <is>
          <t>Set/25</t>
        </is>
      </c>
    </row>
    <row r="47">
      <c r="B47" s="18" t="inlineStr">
        <is>
          <t>Out</t>
        </is>
      </c>
      <c r="C47" s="32">
        <f>C9</f>
        <v/>
      </c>
      <c r="D47" s="33" t="inlineStr">
        <is>
          <t>Out/25</t>
        </is>
      </c>
    </row>
    <row r="48">
      <c r="B48" s="18" t="inlineStr">
        <is>
          <t>Nov</t>
        </is>
      </c>
      <c r="C48" s="32">
        <f>C10</f>
        <v/>
      </c>
      <c r="D48" s="33" t="inlineStr">
        <is>
          <t>Nov/25</t>
        </is>
      </c>
    </row>
    <row r="49">
      <c r="B49" s="18" t="inlineStr">
        <is>
          <t>Dez</t>
        </is>
      </c>
      <c r="C49" s="32">
        <f>C11</f>
        <v/>
      </c>
      <c r="D49" s="33" t="inlineStr">
        <is>
          <t>Dez/25</t>
        </is>
      </c>
    </row>
    <row r="50">
      <c r="B50" s="21" t="inlineStr">
        <is>
          <t>TOTAL</t>
        </is>
      </c>
      <c r="C50" s="34">
        <f>SUM(C38:C49)</f>
        <v/>
      </c>
    </row>
    <row r="52">
      <c r="B52" s="7" t="inlineStr">
        <is>
          <t>GASTO ATUAL COM ENERGIA</t>
        </is>
      </c>
      <c r="C52" s="8" t="n"/>
      <c r="D52" s="8" t="n"/>
      <c r="E52" s="8" t="n"/>
    </row>
    <row r="53">
      <c r="B53" s="21" t="inlineStr">
        <is>
          <t>Gasto anual atual (sem BYD, sem solar)</t>
        </is>
      </c>
      <c r="C53" s="35">
        <f>C22*H11+H9*12</f>
        <v/>
      </c>
    </row>
    <row r="54">
      <c r="B54" s="21" t="inlineStr">
        <is>
          <t>Gasto medio mensal atual</t>
        </is>
      </c>
      <c r="C54" s="35">
        <f>C53/12</f>
        <v/>
      </c>
    </row>
    <row r="55">
      <c r="B55" s="21" t="inlineStr">
        <is>
          <t>Gasto do mes de maior consumo (Jul/26)</t>
        </is>
      </c>
      <c r="C55" s="35">
        <f>H10</f>
        <v/>
      </c>
    </row>
    <row r="57">
      <c r="B57" s="3" t="inlineStr">
        <is>
          <t>CONCLUSOES DA ANALISE DA CONTA:</t>
        </is>
      </c>
    </row>
    <row r="58">
      <c r="B58" s="4" t="inlineStr">
        <is>
          <t>1. Media de 381,3 kWh/mes nos 12 meses mais recentes (4.576 kWh no ano). Este e o CENARIO 1 e NAO deve ser a base do projeto.</t>
        </is>
      </c>
    </row>
    <row r="59">
      <c r="B59" s="3" t="inlineStr">
        <is>
          <t>2. TENDENCIA DE ALTA CONFIRMADA POR DOIS CAMINHOS DIFERENTES:</t>
        </is>
      </c>
    </row>
    <row r="60">
      <c r="B60" s="4" t="inlineStr">
        <is>
          <t xml:space="preserve">   - semestre contra semestre: os 6 meses mais recentes estao 22,0% acima dos 6 mais antigos;</t>
        </is>
      </c>
    </row>
    <row r="61">
      <c r="B61" s="4" t="inlineStr">
        <is>
          <t xml:space="preserve">   - julho contra julho: Jul/25 foram 389 kWh e Jul/26 foram 540 kWh, ou seja +38,8% no MESMO mes do ano anterior.</t>
        </is>
      </c>
    </row>
    <row r="62">
      <c r="B62" s="4" t="inlineStr">
        <is>
          <t xml:space="preserve">   O segundo numero elimina o efeito de estacao: o consumo esta crescendo de verdade, nao e so inverno.</t>
        </is>
      </c>
    </row>
    <row r="63">
      <c r="B63" s="5" t="inlineStr">
        <is>
          <t>3. PERGUNTA IMPORTANTE: o BYD ja esta sendo carregado em casa? A curva Abr-Mai-Jun-Jul (394 / 457 / 422 / 540) e o salto</t>
        </is>
      </c>
    </row>
    <row r="64">
      <c r="B64" s="4" t="inlineStr">
        <is>
          <t xml:space="preserve">   de 39% ano a ano sao compativeis com a entrada de uma carga nova. Se o carro ja carrega em casa, o consumo futuro sera</t>
        </is>
      </c>
    </row>
    <row r="65">
      <c r="B65" s="4" t="inlineStr">
        <is>
          <t xml:space="preserve">   ainda maior do que o Cenario 2 desta planilha, e o dimensionamento precisa subir.</t>
        </is>
      </c>
    </row>
    <row r="66">
      <c r="B66" s="5" t="inlineStr">
        <is>
          <t>4. LIGACAO MONOFASICA CONFIRMADA NA FATURA. E o achado mais critico: os quatro orcamentos usam inversor de 220 V, que</t>
        </is>
      </c>
    </row>
    <row r="67">
      <c r="B67" s="4" t="inlineStr">
        <is>
          <t xml:space="preserve">   exige duas fases. Nenhum incluiu o custo da troca de padrao. Ao virar bifasico, o minimo faturado sobe de 30 para 50 kWh/mes.</t>
        </is>
      </c>
    </row>
    <row r="68">
      <c r="B68" s="4" t="inlineStr">
        <is>
          <t>5. Bandeira AMARELA no mes, somando R$ 13,06. Em bandeira verde a tarifa efetiva cai para cerca de R$ 0,997/kWh.</t>
        </is>
      </c>
    </row>
    <row r="69">
      <c r="B69" s="4" t="inlineStr">
        <is>
          <t>6. A Enel reajustou a tarifa residencial em +8,8% em 04/07/2026. A premissa de 7%/ano de inflacao energetica e conservadora.</t>
        </is>
      </c>
    </row>
    <row r="70">
      <c r="B70" s="4" t="inlineStr">
        <is>
          <t>7. Tributos representam R$ 122,54, ou 21,4% da fatura. A energia solar reduz a base de calculo, e por isso reduz tributos tambem.</t>
        </is>
      </c>
    </row>
    <row r="71">
      <c r="B71" s="4" t="inlineStr">
        <is>
          <t>8. O endereco na fatura e SAO PAULO/SP, Jardim das Pedras, CEP 02367-075 - e nao Franco da Rocha, como diz a peca da TecSolarSP.</t>
        </is>
      </c>
    </row>
    <row r="72">
      <c r="B72" s="4" t="inlineStr">
        <is>
          <t xml:space="preserve">   Isso nao muda quase nada na irradiacao, mas muda a agencia de homologacao e o municipio da COSIP. Corrigir na proposta.</t>
        </is>
      </c>
    </row>
    <row r="76">
      <c r="B76" s="7" t="inlineStr">
        <is>
          <t>ANALISE FORENSE: JA EXISTE CARGA NOVA NA CONTA? (o medidor nao separa o carro, mas o padrao diario denuncia)</t>
        </is>
      </c>
      <c r="C76" s="8" t="n"/>
      <c r="D76" s="8" t="n"/>
      <c r="E76" s="8" t="n"/>
    </row>
    <row r="77">
      <c r="B77" s="4" t="inlineStr">
        <is>
          <t>Media diaria dos 10 meses estaveis (Jul/25 a Abr/26)</t>
        </is>
      </c>
      <c r="C77" s="29">
        <f>AVERAGE(E6:E15)</f>
        <v/>
      </c>
      <c r="D77" s="2" t="inlineStr">
        <is>
          <t>kWh/dia</t>
        </is>
      </c>
      <c r="E77" s="2" t="inlineStr">
        <is>
          <t>Periodo em que o consumo diario ficou entre 10,0 e 12,3</t>
        </is>
      </c>
    </row>
    <row r="78">
      <c r="B78" s="4" t="inlineStr">
        <is>
          <t>Media diaria dos 3 ultimos meses (Mai a Jul/26)</t>
        </is>
      </c>
      <c r="C78" s="29">
        <f>AVERAGE(E16:E18)</f>
        <v/>
      </c>
      <c r="D78" s="2" t="inlineStr">
        <is>
          <t>kWh/dia</t>
        </is>
      </c>
      <c r="E78" s="2" t="inlineStr">
        <is>
          <t>Periodo apos o degrau</t>
        </is>
      </c>
    </row>
    <row r="79">
      <c r="B79" s="21" t="inlineStr">
        <is>
          <t>DEGRAU DETECTADO</t>
        </is>
      </c>
      <c r="C79" s="36">
        <f>C78-C77</f>
        <v/>
      </c>
      <c r="D79" s="2" t="inlineStr">
        <is>
          <t>kWh/dia</t>
        </is>
      </c>
      <c r="E79" s="2" t="inlineStr">
        <is>
          <t>Carga nova que apareceu por volta de maio de 2026</t>
        </is>
      </c>
    </row>
    <row r="80">
      <c r="B80" s="21" t="inlineStr">
        <is>
          <t>DEGRAU EM BASE MENSAL</t>
        </is>
      </c>
      <c r="C80" s="37">
        <f>C79*30.4</f>
        <v/>
      </c>
      <c r="D80" s="2" t="inlineStr">
        <is>
          <t>kWh/mes</t>
        </is>
      </c>
      <c r="E80" s="2" t="inlineStr">
        <is>
          <t>E este o valor que provavelmente e o carro - ou uma carga nova qualquer</t>
        </is>
      </c>
    </row>
    <row r="81">
      <c r="B81" s="4" t="inlineStr">
        <is>
          <t>Aumento percentual</t>
        </is>
      </c>
      <c r="C81" s="30">
        <f>IFERROR(C78/C77-1,0)</f>
        <v/>
      </c>
      <c r="D81" s="2" t="inlineStr"/>
      <c r="E81" s="2" t="inlineStr"/>
    </row>
    <row r="82">
      <c r="B82" s="4" t="inlineStr">
        <is>
          <t>CONTROLE DE SAZONALIDADE - Jul/25</t>
        </is>
      </c>
      <c r="C82" s="29">
        <f>E6</f>
        <v/>
      </c>
      <c r="D82" s="2" t="inlineStr">
        <is>
          <t>kWh/dia</t>
        </is>
      </c>
      <c r="E82" s="2" t="inlineStr">
        <is>
          <t>Julho de 2025 tambem foi inverno, com chuveiro eletrico ligado</t>
        </is>
      </c>
    </row>
    <row r="83">
      <c r="B83" s="4" t="inlineStr">
        <is>
          <t>CONTROLE DE SAZONALIDADE - Jul/26</t>
        </is>
      </c>
      <c r="C83" s="29">
        <f>E18</f>
        <v/>
      </c>
      <c r="D83" s="2" t="inlineStr">
        <is>
          <t>kWh/dia</t>
        </is>
      </c>
      <c r="E83" s="2" t="inlineStr">
        <is>
          <t>Mesmo mes, mesma estacao, um ano depois</t>
        </is>
      </c>
    </row>
    <row r="84">
      <c r="B84" s="4" t="inlineStr">
        <is>
          <t>Diferenca julho contra julho</t>
        </is>
      </c>
      <c r="C84" s="29">
        <f>C83-C82</f>
        <v/>
      </c>
      <c r="D84" s="2" t="inlineStr">
        <is>
          <t>kWh/dia</t>
        </is>
      </c>
      <c r="E84" s="2" t="inlineStr">
        <is>
          <t>ESTE e o numero mais confiavel: compara estacao com estacao</t>
        </is>
      </c>
    </row>
    <row r="85">
      <c r="B85" s="4" t="inlineStr">
        <is>
          <t>Diferenca julho contra julho em base mensal</t>
        </is>
      </c>
      <c r="C85" s="12">
        <f>C84*30.4</f>
        <v/>
      </c>
      <c r="D85" s="2" t="inlineStr">
        <is>
          <t>kWh/mes</t>
        </is>
      </c>
      <c r="E85" s="2" t="inlineStr">
        <is>
          <t>Prova que o aumento NAO e sazonal</t>
        </is>
      </c>
    </row>
    <row r="86">
      <c r="B86" s="4" t="inlineStr">
        <is>
          <t>Energia da rede por km rodado</t>
        </is>
      </c>
      <c r="C86" s="29">
        <f>ENTRADAS!C42/100/ENTRADAS!C45</f>
        <v/>
      </c>
      <c r="D86" s="2" t="inlineStr">
        <is>
          <t>kWh/km</t>
        </is>
      </c>
      <c r="E86" s="2" t="inlineStr">
        <is>
          <t>Consumo do veiculo dividido pela eficiencia de carregamento</t>
        </is>
      </c>
    </row>
    <row r="87">
      <c r="B87" s="21" t="inlineStr">
        <is>
          <t>SE O DEGRAU FOR O BYD, ISSO EQUIVALE A</t>
        </is>
      </c>
      <c r="C87" s="38">
        <f>IFERROR(C80/C86,0)</f>
        <v/>
      </c>
      <c r="D87" s="2" t="inlineStr">
        <is>
          <t>km/mes</t>
        </is>
      </c>
      <c r="E87" s="2" t="inlineStr">
        <is>
          <t>Quilometragem eletrica compativel com o degrau medido</t>
        </is>
      </c>
    </row>
    <row r="88">
      <c r="B88" s="4" t="inlineStr">
        <is>
          <t xml:space="preserve">  o mesmo em km por dia</t>
        </is>
      </c>
      <c r="C88" s="12">
        <f>IFERROR(C87/30.4,0)</f>
        <v/>
      </c>
      <c r="D88" s="2" t="inlineStr">
        <is>
          <t>km/dia</t>
        </is>
      </c>
      <c r="E88" s="2" t="inlineStr"/>
    </row>
    <row r="89">
      <c r="B89" s="4" t="inlineStr">
        <is>
          <t>Pelo controle julho x julho, equivale a</t>
        </is>
      </c>
      <c r="C89" s="12">
        <f>IFERROR(C85/C86,0)</f>
        <v/>
      </c>
      <c r="D89" s="2" t="inlineStr">
        <is>
          <t>km/mes</t>
        </is>
      </c>
      <c r="E89" s="2" t="inlineStr">
        <is>
          <t>Segunda estimativa, pelo caminho independente</t>
        </is>
      </c>
    </row>
    <row r="91">
      <c r="B91" s="3" t="inlineStr">
        <is>
          <t>COMO ESTA ANALISE FUNCIONA E PARA QUE SERVE:</t>
        </is>
      </c>
    </row>
    <row r="92">
      <c r="B92" s="2" t="inlineStr">
        <is>
          <t>O medidor da Enel registra apenas o TOTAL da casa - nao existe forma de ler na conta quanto foi para o carro.</t>
        </is>
      </c>
    </row>
    <row r="93">
      <c r="B93" s="2" t="inlineStr">
        <is>
          <t>Mas o consumo DIARIO (coluna E) revela um degrau claro: ficou entre 10,0 e 12,3 kWh/dia por dez meses seguidos,</t>
        </is>
      </c>
    </row>
    <row r="94">
      <c r="B94" s="2" t="inlineStr">
        <is>
          <t>e saltou para 14,5 a 16,4 kWh/dia a partir de maio de 2026. Normalizar por dia e essencial porque os ciclos de</t>
        </is>
      </c>
    </row>
    <row r="95">
      <c r="B95" s="2" t="inlineStr">
        <is>
          <t>faturamento variam de 29 a 33 dias - comparar kWh do mes direto induz a erro.</t>
        </is>
      </c>
    </row>
    <row r="96">
      <c r="B96" s="2" t="inlineStr"/>
    </row>
    <row r="97">
      <c r="B97" s="2" t="inlineStr">
        <is>
          <t>O teste decisivo e julho contra julho: mesma estacao, mesmo uso de chuveiro eletrico, um ano de diferenca.</t>
        </is>
      </c>
    </row>
    <row r="98">
      <c r="B98" s="2" t="inlineStr">
        <is>
          <t>Deu +4,2 kWh/dia. Isso praticamente elimina a hipotese de que o aumento seja apenas inverno.</t>
        </is>
      </c>
    </row>
    <row r="99">
      <c r="B99" s="2" t="inlineStr"/>
    </row>
    <row r="100">
      <c r="B100" s="5" t="inlineStr">
        <is>
          <t>RESSALVAS HONESTAS: (a) nao ha dados de maio e junho de 2025 para comparar esses dois meses ano a ano;</t>
        </is>
      </c>
    </row>
    <row r="101">
      <c r="B101" s="2" t="inlineStr">
        <is>
          <t>(b) o degrau pode ser outra carga nova - ar-condicionado, freezer, mais gente em casa - e nao o carro;</t>
        </is>
      </c>
    </row>
    <row r="102">
      <c r="B102" s="2" t="inlineStr">
        <is>
          <t>(c) o mes de Nov/25 foi faturado como MED (media estimada), nao leitura real, o que adiciona um pouco de ruido;</t>
        </is>
      </c>
    </row>
    <row r="103">
      <c r="B103" s="2" t="inlineStr">
        <is>
          <t>(d) a conversao para quilometragem usa o consumo estimado de 17 kWh/100 km, que ainda nao foi confirmado.</t>
        </is>
      </c>
    </row>
    <row r="104">
      <c r="B104" s="2" t="inlineStr"/>
    </row>
    <row r="105">
      <c r="B105" s="5" t="inlineStr">
        <is>
          <t>POR ISSO A PERGUNTA IMPORTA TANTO: se o carro JA esta carregando desde maio, o consumo futuro e proximo dos</t>
        </is>
      </c>
    </row>
    <row r="106">
      <c r="B106" s="2" t="inlineStr">
        <is>
          <t>468 kWh/mes de hoje e o sistema pode ser MENOR. Se o degrau for outra coisa e o carro ainda vai entrar, o</t>
        </is>
      </c>
    </row>
    <row r="107">
      <c r="B107" s="2" t="inlineStr">
        <is>
          <t>consumo sobe para a faixa de 590 a 765 kWh/mes. A diferenca entre os dois casos e de 2 a 3 placas.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8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4" customWidth="1" min="9" max="9"/>
    <col width="14" customWidth="1" min="10" max="10"/>
    <col width="13" customWidth="1" min="11" max="11"/>
  </cols>
  <sheetData>
    <row r="1">
      <c r="A1" s="1" t="inlineStr">
        <is>
          <t>IRRADIACAO E GERACAO POR kWp - REGIAO METROPOLITANA NORTE DE SAO PAULO</t>
        </is>
      </c>
    </row>
    <row r="2">
      <c r="A2" s="2" t="inlineStr">
        <is>
          <t>HSP estimada para a regiao. CONFIRMAR no CRESESB ou PVGIS com o CEP exato. Fatores de transposicao calculados para latitude -23,3 graus.</t>
        </is>
      </c>
    </row>
    <row r="4" ht="42" customHeight="1">
      <c r="B4" s="17" t="inlineStr">
        <is>
          <t>Mes</t>
        </is>
      </c>
      <c r="C4" s="17" t="inlineStr">
        <is>
          <t>Dias</t>
        </is>
      </c>
      <c r="D4" s="17" t="inlineStr">
        <is>
          <t>HSP horizontal (kWh/m2.dia)</t>
        </is>
      </c>
      <c r="E4" s="17" t="inlineStr">
        <is>
          <t>Fator SE 20 graus</t>
        </is>
      </c>
      <c r="F4" s="17" t="inlineStr">
        <is>
          <t>HSP plano SE</t>
        </is>
      </c>
      <c r="G4" s="17" t="inlineStr">
        <is>
          <t>Fator Norte 20 graus</t>
        </is>
      </c>
      <c r="H4" s="17" t="inlineStr">
        <is>
          <t>HSP plano Norte</t>
        </is>
      </c>
      <c r="I4" s="17" t="inlineStr">
        <is>
          <t>Geracao/kWp SE (kWh/mes)</t>
        </is>
      </c>
      <c r="J4" s="17" t="inlineStr">
        <is>
          <t>Geracao/kWp Norte (kWh/mes)</t>
        </is>
      </c>
      <c r="K4" s="17" t="inlineStr">
        <is>
          <t>Perda por ser SE</t>
        </is>
      </c>
    </row>
    <row r="5">
      <c r="B5" s="18" t="inlineStr">
        <is>
          <t>Jan</t>
        </is>
      </c>
      <c r="C5" s="18" t="n">
        <v>31</v>
      </c>
      <c r="D5" s="16" t="n">
        <v>5.3</v>
      </c>
      <c r="E5" s="16" t="n">
        <v>0.97</v>
      </c>
      <c r="F5" s="19">
        <f>D5*E5</f>
        <v/>
      </c>
      <c r="G5" s="16" t="n">
        <v>1.02</v>
      </c>
      <c r="H5" s="19">
        <f>D5*G5</f>
        <v/>
      </c>
      <c r="I5" s="39">
        <f>F5*C5*ENTRADAS!$C$31</f>
        <v/>
      </c>
      <c r="J5" s="39">
        <f>H5*C5*ENTRADAS!$C$31</f>
        <v/>
      </c>
      <c r="K5" s="40">
        <f>IFERROR(I5/J5-1,0)</f>
        <v/>
      </c>
    </row>
    <row r="6">
      <c r="B6" s="18" t="inlineStr">
        <is>
          <t>Fev</t>
        </is>
      </c>
      <c r="C6" s="18" t="n">
        <v>28</v>
      </c>
      <c r="D6" s="16" t="n">
        <v>5.4</v>
      </c>
      <c r="E6" s="16" t="n">
        <v>0.96</v>
      </c>
      <c r="F6" s="19">
        <f>D6*E6</f>
        <v/>
      </c>
      <c r="G6" s="16" t="n">
        <v>1.04</v>
      </c>
      <c r="H6" s="19">
        <f>D6*G6</f>
        <v/>
      </c>
      <c r="I6" s="39">
        <f>F6*C6*ENTRADAS!$C$31</f>
        <v/>
      </c>
      <c r="J6" s="39">
        <f>H6*C6*ENTRADAS!$C$31</f>
        <v/>
      </c>
      <c r="K6" s="40">
        <f>IFERROR(I6/J6-1,0)</f>
        <v/>
      </c>
    </row>
    <row r="7">
      <c r="B7" s="18" t="inlineStr">
        <is>
          <t>Mar</t>
        </is>
      </c>
      <c r="C7" s="18" t="n">
        <v>31</v>
      </c>
      <c r="D7" s="16" t="n">
        <v>4.9</v>
      </c>
      <c r="E7" s="16" t="n">
        <v>0.95</v>
      </c>
      <c r="F7" s="19">
        <f>D7*E7</f>
        <v/>
      </c>
      <c r="G7" s="16" t="n">
        <v>1.07</v>
      </c>
      <c r="H7" s="19">
        <f>D7*G7</f>
        <v/>
      </c>
      <c r="I7" s="39">
        <f>F7*C7*ENTRADAS!$C$31</f>
        <v/>
      </c>
      <c r="J7" s="39">
        <f>H7*C7*ENTRADAS!$C$31</f>
        <v/>
      </c>
      <c r="K7" s="40">
        <f>IFERROR(I7/J7-1,0)</f>
        <v/>
      </c>
    </row>
    <row r="8">
      <c r="B8" s="18" t="inlineStr">
        <is>
          <t>Abr</t>
        </is>
      </c>
      <c r="C8" s="18" t="n">
        <v>30</v>
      </c>
      <c r="D8" s="16" t="n">
        <v>4.4</v>
      </c>
      <c r="E8" s="16" t="n">
        <v>0.9399999999999999</v>
      </c>
      <c r="F8" s="19">
        <f>D8*E8</f>
        <v/>
      </c>
      <c r="G8" s="16" t="n">
        <v>1.11</v>
      </c>
      <c r="H8" s="19">
        <f>D8*G8</f>
        <v/>
      </c>
      <c r="I8" s="39">
        <f>F8*C8*ENTRADAS!$C$31</f>
        <v/>
      </c>
      <c r="J8" s="39">
        <f>H8*C8*ENTRADAS!$C$31</f>
        <v/>
      </c>
      <c r="K8" s="40">
        <f>IFERROR(I8/J8-1,0)</f>
        <v/>
      </c>
    </row>
    <row r="9">
      <c r="B9" s="18" t="inlineStr">
        <is>
          <t>Mai</t>
        </is>
      </c>
      <c r="C9" s="18" t="n">
        <v>31</v>
      </c>
      <c r="D9" s="16" t="n">
        <v>3.7</v>
      </c>
      <c r="E9" s="16" t="n">
        <v>0.92</v>
      </c>
      <c r="F9" s="19">
        <f>D9*E9</f>
        <v/>
      </c>
      <c r="G9" s="16" t="n">
        <v>1.14</v>
      </c>
      <c r="H9" s="19">
        <f>D9*G9</f>
        <v/>
      </c>
      <c r="I9" s="39">
        <f>F9*C9*ENTRADAS!$C$31</f>
        <v/>
      </c>
      <c r="J9" s="39">
        <f>H9*C9*ENTRADAS!$C$31</f>
        <v/>
      </c>
      <c r="K9" s="40">
        <f>IFERROR(I9/J9-1,0)</f>
        <v/>
      </c>
    </row>
    <row r="10">
      <c r="B10" s="18" t="inlineStr">
        <is>
          <t>Jun</t>
        </is>
      </c>
      <c r="C10" s="18" t="n">
        <v>30</v>
      </c>
      <c r="D10" s="16" t="n">
        <v>3.5</v>
      </c>
      <c r="E10" s="16" t="n">
        <v>0.91</v>
      </c>
      <c r="F10" s="19">
        <f>D10*E10</f>
        <v/>
      </c>
      <c r="G10" s="16" t="n">
        <v>1.16</v>
      </c>
      <c r="H10" s="19">
        <f>D10*G10</f>
        <v/>
      </c>
      <c r="I10" s="39">
        <f>F10*C10*ENTRADAS!$C$31</f>
        <v/>
      </c>
      <c r="J10" s="39">
        <f>H10*C10*ENTRADAS!$C$31</f>
        <v/>
      </c>
      <c r="K10" s="40">
        <f>IFERROR(I10/J10-1,0)</f>
        <v/>
      </c>
    </row>
    <row r="11">
      <c r="B11" s="18" t="inlineStr">
        <is>
          <t>Jul</t>
        </is>
      </c>
      <c r="C11" s="18" t="n">
        <v>31</v>
      </c>
      <c r="D11" s="16" t="n">
        <v>3.65</v>
      </c>
      <c r="E11" s="16" t="n">
        <v>0.91</v>
      </c>
      <c r="F11" s="19">
        <f>D11*E11</f>
        <v/>
      </c>
      <c r="G11" s="16" t="n">
        <v>1.15</v>
      </c>
      <c r="H11" s="19">
        <f>D11*G11</f>
        <v/>
      </c>
      <c r="I11" s="39">
        <f>F11*C11*ENTRADAS!$C$31</f>
        <v/>
      </c>
      <c r="J11" s="39">
        <f>H11*C11*ENTRADAS!$C$31</f>
        <v/>
      </c>
      <c r="K11" s="40">
        <f>IFERROR(I11/J11-1,0)</f>
        <v/>
      </c>
    </row>
    <row r="12">
      <c r="B12" s="18" t="inlineStr">
        <is>
          <t>Ago</t>
        </is>
      </c>
      <c r="C12" s="18" t="n">
        <v>31</v>
      </c>
      <c r="D12" s="16" t="n">
        <v>4.55</v>
      </c>
      <c r="E12" s="16" t="n">
        <v>0.93</v>
      </c>
      <c r="F12" s="19">
        <f>D12*E12</f>
        <v/>
      </c>
      <c r="G12" s="16" t="n">
        <v>1.11</v>
      </c>
      <c r="H12" s="19">
        <f>D12*G12</f>
        <v/>
      </c>
      <c r="I12" s="39">
        <f>F12*C12*ENTRADAS!$C$31</f>
        <v/>
      </c>
      <c r="J12" s="39">
        <f>H12*C12*ENTRADAS!$C$31</f>
        <v/>
      </c>
      <c r="K12" s="40">
        <f>IFERROR(I12/J12-1,0)</f>
        <v/>
      </c>
    </row>
    <row r="13">
      <c r="B13" s="18" t="inlineStr">
        <is>
          <t>Set</t>
        </is>
      </c>
      <c r="C13" s="18" t="n">
        <v>30</v>
      </c>
      <c r="D13" s="16" t="n">
        <v>4.45</v>
      </c>
      <c r="E13" s="16" t="n">
        <v>0.95</v>
      </c>
      <c r="F13" s="19">
        <f>D13*E13</f>
        <v/>
      </c>
      <c r="G13" s="16" t="n">
        <v>1.06</v>
      </c>
      <c r="H13" s="19">
        <f>D13*G13</f>
        <v/>
      </c>
      <c r="I13" s="39">
        <f>F13*C13*ENTRADAS!$C$31</f>
        <v/>
      </c>
      <c r="J13" s="39">
        <f>H13*C13*ENTRADAS!$C$31</f>
        <v/>
      </c>
      <c r="K13" s="40">
        <f>IFERROR(I13/J13-1,0)</f>
        <v/>
      </c>
    </row>
    <row r="14">
      <c r="B14" s="18" t="inlineStr">
        <is>
          <t>Out</t>
        </is>
      </c>
      <c r="C14" s="18" t="n">
        <v>31</v>
      </c>
      <c r="D14" s="16" t="n">
        <v>4.9</v>
      </c>
      <c r="E14" s="16" t="n">
        <v>0.96</v>
      </c>
      <c r="F14" s="19">
        <f>D14*E14</f>
        <v/>
      </c>
      <c r="G14" s="16" t="n">
        <v>1.02</v>
      </c>
      <c r="H14" s="19">
        <f>D14*G14</f>
        <v/>
      </c>
      <c r="I14" s="39">
        <f>F14*C14*ENTRADAS!$C$31</f>
        <v/>
      </c>
      <c r="J14" s="39">
        <f>H14*C14*ENTRADAS!$C$31</f>
        <v/>
      </c>
      <c r="K14" s="40">
        <f>IFERROR(I14/J14-1,0)</f>
        <v/>
      </c>
    </row>
    <row r="15">
      <c r="B15" s="18" t="inlineStr">
        <is>
          <t>Nov</t>
        </is>
      </c>
      <c r="C15" s="18" t="n">
        <v>30</v>
      </c>
      <c r="D15" s="16" t="n">
        <v>5.35</v>
      </c>
      <c r="E15" s="16" t="n">
        <v>0.97</v>
      </c>
      <c r="F15" s="19">
        <f>D15*E15</f>
        <v/>
      </c>
      <c r="G15" s="16" t="n">
        <v>1</v>
      </c>
      <c r="H15" s="19">
        <f>D15*G15</f>
        <v/>
      </c>
      <c r="I15" s="39">
        <f>F15*C15*ENTRADAS!$C$31</f>
        <v/>
      </c>
      <c r="J15" s="39">
        <f>H15*C15*ENTRADAS!$C$31</f>
        <v/>
      </c>
      <c r="K15" s="40">
        <f>IFERROR(I15/J15-1,0)</f>
        <v/>
      </c>
    </row>
    <row r="16">
      <c r="B16" s="18" t="inlineStr">
        <is>
          <t>Dez</t>
        </is>
      </c>
      <c r="C16" s="18" t="n">
        <v>31</v>
      </c>
      <c r="D16" s="16" t="n">
        <v>5.45</v>
      </c>
      <c r="E16" s="16" t="n">
        <v>0.97</v>
      </c>
      <c r="F16" s="19">
        <f>D16*E16</f>
        <v/>
      </c>
      <c r="G16" s="16" t="n">
        <v>1</v>
      </c>
      <c r="H16" s="19">
        <f>D16*G16</f>
        <v/>
      </c>
      <c r="I16" s="39">
        <f>F16*C16*ENTRADAS!$C$31</f>
        <v/>
      </c>
      <c r="J16" s="39">
        <f>H16*C16*ENTRADAS!$C$31</f>
        <v/>
      </c>
      <c r="K16" s="40">
        <f>IFERROR(I16/J16-1,0)</f>
        <v/>
      </c>
    </row>
    <row r="17">
      <c r="B17" s="41" t="inlineStr">
        <is>
          <t>ANO</t>
        </is>
      </c>
      <c r="C17" s="42">
        <f>SUM(C5:C16)</f>
        <v/>
      </c>
      <c r="D17" s="43">
        <f>AVERAGE(D5:D16)</f>
        <v/>
      </c>
      <c r="E17" s="44" t="n"/>
      <c r="F17" s="43">
        <f>AVERAGE(F5:F16)</f>
        <v/>
      </c>
      <c r="G17" s="44" t="n"/>
      <c r="H17" s="43">
        <f>AVERAGE(H5:H16)</f>
        <v/>
      </c>
      <c r="I17" s="42">
        <f>SUM(I5:I16)</f>
        <v/>
      </c>
      <c r="J17" s="42">
        <f>SUM(J5:J16)</f>
        <v/>
      </c>
      <c r="K17" s="45">
        <f>IFERROR(I17/J17-1,0)</f>
        <v/>
      </c>
    </row>
    <row r="18">
      <c r="B18" s="21" t="inlineStr">
        <is>
          <t>MEDIA MES</t>
        </is>
      </c>
      <c r="I18" s="26">
        <f>I17/12</f>
        <v/>
      </c>
      <c r="J18" s="26">
        <f>J17/12</f>
        <v/>
      </c>
    </row>
    <row r="20">
      <c r="B20" s="2" t="inlineStr">
        <is>
          <t>A COLUNA I E A CHAVE DE TODA A PLANILHA: quantos kWh cada 1 kWp gera por mes no SEU telhado (Sudeste, 20 graus).</t>
        </is>
      </c>
    </row>
    <row r="21">
      <c r="B21" s="2" t="inlineStr">
        <is>
          <t>A coluna J mostra o que geraria num telhado Norte. A coluna K e a perda por estar voltado ao Sudeste.</t>
        </is>
      </c>
    </row>
    <row r="22">
      <c r="B22" s="2" t="inlineStr"/>
    </row>
    <row r="23">
      <c r="B23" s="3" t="inlineStr">
        <is>
          <t>COMPARACAO DIRETA COM O QUE OS VENDEDORES PROMETERAM (celula I17 x J17):</t>
        </is>
      </c>
    </row>
    <row r="24">
      <c r="B24" s="2" t="inlineStr">
        <is>
          <t xml:space="preserve">  TecSolarSP: 10.554 kWh/ano / 7,38 kWp = 1.430 kWh por kWp. Praticamente identico ao valor NORTE (J17).</t>
        </is>
      </c>
    </row>
    <row r="25">
      <c r="B25" s="2" t="inlineStr">
        <is>
          <t xml:space="preserve">     Eles declaram o telhado como SUDESTE na propria peca publicitaria. A promessa nao fecha com a orientacao declarada.</t>
        </is>
      </c>
    </row>
    <row r="26">
      <c r="B26" s="2" t="inlineStr">
        <is>
          <t xml:space="preserve">  SunWash: o anuncio diz textualmente 'CALCULO CONSIDERANDO NORTE DO TELHADO' e vale para Ribeirao Preto ate 80 km.</t>
        </is>
      </c>
    </row>
    <row r="27">
      <c r="B27" s="2" t="inlineStr">
        <is>
          <t xml:space="preserve">     Ribeirao Preto tem irradiacao maior que Sao Paulo. Sao dois desvios somados a favor do vendedor.</t>
        </is>
      </c>
    </row>
    <row r="28">
      <c r="B28" s="2" t="inlineStr">
        <is>
          <t xml:space="preserve">  William: usou HSP fixa de 4,5 h/dia e 30% de perdas (PR 0,70), chegando a 1.150 kWh por kWp. E o mais CONSERVADOR</t>
        </is>
      </c>
    </row>
    <row r="29">
      <c r="B29" s="2" t="inlineStr">
        <is>
          <t xml:space="preserve">     dos tres - abaixo do valor calculado aqui. A proposta dele erra por seguranca, nao por exagero.</t>
        </is>
      </c>
    </row>
    <row r="30">
      <c r="B30" s="2" t="inlineStr"/>
    </row>
    <row r="31">
      <c r="B31" s="2" t="inlineStr">
        <is>
          <t>CONSEQUENCIA PRATICA DO TELHADO SUDESTE: a geracao se concentra na MANHA e cai a tarde.</t>
        </is>
      </c>
    </row>
    <row r="32">
      <c r="B32" s="2" t="inlineStr">
        <is>
          <t xml:space="preserve">  Isso favorece carregar o BYD entre 8h e 14h. Desfavorece consumo concentrado no fim da tarde e na noite.</t>
        </is>
      </c>
    </row>
    <row r="33">
      <c r="B33" s="2" t="inlineStr"/>
    </row>
    <row r="34">
      <c r="B34" s="2" t="inlineStr">
        <is>
          <t>SENSIBILIDADE: com PR de 0,72 (telhado mais sujo, mais quente ou com sombra parcial) a geracao cai cerca de 9%.</t>
        </is>
      </c>
    </row>
    <row r="35">
      <c r="B35" s="2" t="inlineStr">
        <is>
          <t xml:space="preserve">  A aba COMPARATIVO mostra as duas linhas - realista e conservadora - para voce ver o pior caso.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13" customWidth="1" min="4" max="4"/>
    <col width="13" customWidth="1" min="5" max="5"/>
    <col width="15" customWidth="1" min="6" max="6"/>
    <col width="17" customWidth="1" min="7" max="7"/>
    <col width="56" customWidth="1" min="8" max="8"/>
  </cols>
  <sheetData>
    <row r="1">
      <c r="A1" s="1" t="inlineStr">
        <is>
          <t>CONSUMO DO BYD HIBRIDO, CARREGADOR E CENARIOS DE CONSUMO</t>
        </is>
      </c>
    </row>
    <row r="2">
      <c r="A2" s="2" t="inlineStr">
        <is>
          <t>TODOS os dados do veiculo sao ESTIMATIVA - voce ainda nao informou modelo, km/dia nem horario. kW = potencia. kWh = energia.</t>
        </is>
      </c>
    </row>
    <row r="4">
      <c r="B4" s="7" t="inlineStr">
        <is>
          <t>1) ENERGIA QUE O CARRO PRECISA (na bateria)</t>
        </is>
      </c>
      <c r="C4" s="8" t="n"/>
      <c r="D4" s="8" t="n"/>
      <c r="E4" s="8" t="n"/>
      <c r="F4" s="8" t="n"/>
      <c r="G4" s="8" t="n"/>
      <c r="H4" s="8" t="n"/>
    </row>
    <row r="5">
      <c r="B5" s="4" t="inlineStr">
        <is>
          <t>Distancia por dia</t>
        </is>
      </c>
      <c r="C5" s="46">
        <f>ENTRADAS!C43</f>
        <v/>
      </c>
      <c r="D5" s="2" t="inlineStr">
        <is>
          <t>km/dia</t>
        </is>
      </c>
      <c r="H5" s="2" t="inlineStr">
        <is>
          <t>ESTIMATIVA - o dado que mais muda o resultado</t>
        </is>
      </c>
    </row>
    <row r="6">
      <c r="B6" s="4" t="inlineStr">
        <is>
          <t>Consumo eletrico do veiculo</t>
        </is>
      </c>
      <c r="C6" s="47">
        <f>ENTRADAS!C42</f>
        <v/>
      </c>
      <c r="D6" s="2" t="inlineStr">
        <is>
          <t>kWh/100km</t>
        </is>
      </c>
      <c r="H6" s="2" t="inlineStr">
        <is>
          <t>ESTIMATIVA de uso real em modo eletrico</t>
        </is>
      </c>
    </row>
    <row r="7">
      <c r="B7" s="4" t="inlineStr">
        <is>
          <t>Energia na bateria por dia = MENOR entre o que voce roda e o que voce recarrega</t>
        </is>
      </c>
      <c r="C7" s="29">
        <f>MIN(C5*C6/100,ENTRADAS!C41*ENTRADAS!C57*ENTRADAS!C58)</f>
        <v/>
      </c>
      <c r="D7" s="2" t="inlineStr">
        <is>
          <t>kWh/dia</t>
        </is>
      </c>
      <c r="H7" s="2" t="inlineStr">
        <is>
          <t>Roda 80 km = demanda 12,80 kWh/dia. Uma carga de 50% repoe 6,45 kWh/dia. Vale o MENOR: o carro so usa da bateria o que foi reposto</t>
        </is>
      </c>
    </row>
    <row r="8">
      <c r="B8" s="4" t="inlineStr">
        <is>
          <t>Dias de carregamento por mes</t>
        </is>
      </c>
      <c r="C8" s="46">
        <f>ENTRADAS!C44</f>
        <v/>
      </c>
      <c r="D8" s="2" t="inlineStr">
        <is>
          <t>dias/mes</t>
        </is>
      </c>
      <c r="H8" s="2" t="inlineStr">
        <is>
          <t>ESTIMATIVA</t>
        </is>
      </c>
    </row>
    <row r="9">
      <c r="B9" s="21" t="inlineStr">
        <is>
          <t>ENERGIA NECESSARIA PARA O VEICULO POR MES</t>
        </is>
      </c>
      <c r="C9" s="48">
        <f>C7*C8</f>
        <v/>
      </c>
      <c r="D9" s="2" t="inlineStr">
        <is>
          <t>kWh/mes</t>
        </is>
      </c>
      <c r="H9" s="2" t="inlineStr">
        <is>
          <t>Energia UTIL na bateria, ANTES das perdas de carregamento</t>
        </is>
      </c>
    </row>
    <row r="11">
      <c r="B11" s="7" t="inlineStr">
        <is>
          <t>2) ENERGIA QUE SAI DA REDE (o que o medidor registra)</t>
        </is>
      </c>
      <c r="C11" s="8" t="n"/>
      <c r="D11" s="8" t="n"/>
      <c r="E11" s="8" t="n"/>
      <c r="F11" s="8" t="n"/>
      <c r="G11" s="8" t="n"/>
      <c r="H11" s="8" t="n"/>
    </row>
    <row r="12">
      <c r="B12" s="4" t="inlineStr">
        <is>
          <t>Eficiencia de carregamento (tomada -&gt; bateria)</t>
        </is>
      </c>
      <c r="C12" s="49">
        <f>ENTRADAS!C45</f>
        <v/>
      </c>
      <c r="D12" s="2" t="inlineStr"/>
      <c r="H12" s="2" t="inlineStr">
        <is>
          <t>86% adotado: 14% se perde no carregador AC, no BMS e em calor</t>
        </is>
      </c>
    </row>
    <row r="13">
      <c r="B13" s="21" t="inlineStr">
        <is>
          <t>ENERGIA EFETIVAMENTE CONSUMIDA DA REDE PARA CARREGAR</t>
        </is>
      </c>
      <c r="C13" s="48">
        <f>C9/C12</f>
        <v/>
      </c>
      <c r="D13" s="2" t="inlineStr">
        <is>
          <t>kWh/mes</t>
        </is>
      </c>
      <c r="H13" s="2" t="inlineStr">
        <is>
          <t>ESTE e o numero que entra na conta de luz e no dimensionamento</t>
        </is>
      </c>
    </row>
    <row r="14">
      <c r="B14" s="4" t="inlineStr">
        <is>
          <t>Perda de carregamento (energia paga que nao roda)</t>
        </is>
      </c>
      <c r="C14" s="12">
        <f>C13-C9</f>
        <v/>
      </c>
      <c r="D14" s="2" t="inlineStr">
        <is>
          <t>kWh/mes</t>
        </is>
      </c>
      <c r="H14" s="2" t="inlineStr">
        <is>
          <t>Desperdicio inevitavel do processo de carga</t>
        </is>
      </c>
    </row>
    <row r="15">
      <c r="B15" s="4" t="inlineStr">
        <is>
          <t>Custo do carro na conta de luz SEM solar</t>
        </is>
      </c>
      <c r="C15" s="15">
        <f>C13*ENTRADAS!C18</f>
        <v/>
      </c>
      <c r="D15" s="2" t="inlineStr">
        <is>
          <t>R$/mes</t>
        </is>
      </c>
      <c r="H15" s="2" t="inlineStr">
        <is>
          <t>Tarifa real de R$ 1,0215/kWh</t>
        </is>
      </c>
    </row>
    <row r="16">
      <c r="B16" s="4" t="inlineStr">
        <is>
          <t>Custo anual do carro SEM solar</t>
        </is>
      </c>
      <c r="C16" s="15">
        <f>C15*12</f>
        <v/>
      </c>
      <c r="D16" s="2" t="inlineStr">
        <is>
          <t>R$/ano</t>
        </is>
      </c>
      <c r="H16" s="2" t="inlineStr"/>
    </row>
    <row r="17">
      <c r="B17" s="4" t="inlineStr">
        <is>
          <t>Custo do carro na conta COM solar (so o Fio B)</t>
        </is>
      </c>
      <c r="C17" s="15">
        <f>C13*ENTRADAS!C25</f>
        <v/>
      </c>
      <c r="D17" s="2" t="inlineStr">
        <is>
          <t>R$/mes</t>
        </is>
      </c>
      <c r="H17" s="2" t="inlineStr">
        <is>
          <t>Compensado por credito: paga-se apenas 60% da TUSD Fio B em 2026</t>
        </is>
      </c>
    </row>
    <row r="18">
      <c r="B18" s="21" t="inlineStr">
        <is>
          <t>ECONOMIA MENSAL SO NO CARREGAMENTO DO BYD</t>
        </is>
      </c>
      <c r="C18" s="50">
        <f>C15-C17</f>
        <v/>
      </c>
      <c r="D18" s="2" t="inlineStr">
        <is>
          <t>R$/mes</t>
        </is>
      </c>
      <c r="H18" s="2" t="inlineStr">
        <is>
          <t>Este e o item de maior retorno do projeto</t>
        </is>
      </c>
    </row>
    <row r="19">
      <c r="B19" s="4" t="inlineStr">
        <is>
          <t>Economia anual so no carregamento do BYD</t>
        </is>
      </c>
      <c r="C19" s="15">
        <f>C18*12</f>
        <v/>
      </c>
      <c r="D19" s="2" t="inlineStr">
        <is>
          <t>R$/ano</t>
        </is>
      </c>
      <c r="H19" s="2" t="inlineStr"/>
    </row>
    <row r="20">
      <c r="B20" s="4" t="inlineStr">
        <is>
          <t>Custo por km em modo eletrico SEM solar</t>
        </is>
      </c>
      <c r="C20" s="15">
        <f>IFERROR(C15/(C5*C8),0)</f>
        <v/>
      </c>
      <c r="D20" s="2" t="inlineStr">
        <is>
          <t>R$/km</t>
        </is>
      </c>
      <c r="H20" s="2" t="inlineStr">
        <is>
          <t>Comparar com o custo por km na gasolina</t>
        </is>
      </c>
    </row>
    <row r="21">
      <c r="B21" s="4" t="inlineStr">
        <is>
          <t>Custo por km em modo eletrico COM solar</t>
        </is>
      </c>
      <c r="C21" s="15">
        <f>IFERROR(C17/(C5*C8),0)</f>
        <v/>
      </c>
      <c r="D21" s="2" t="inlineStr">
        <is>
          <t>R$/km</t>
        </is>
      </c>
      <c r="H21" s="2" t="inlineStr">
        <is>
          <t>Rodar praticamente de graca</t>
        </is>
      </c>
    </row>
    <row r="23">
      <c r="B23" s="7" t="inlineStr">
        <is>
          <t>3) POTENCIA x ENERGIA - CARREGADOR (nao confundir kW com kWh)</t>
        </is>
      </c>
      <c r="C23" s="8" t="n"/>
      <c r="D23" s="8" t="n"/>
      <c r="E23" s="8" t="n"/>
      <c r="F23" s="8" t="n"/>
      <c r="G23" s="8" t="n"/>
      <c r="H23" s="8" t="n"/>
    </row>
    <row r="24">
      <c r="B24" s="4" t="inlineStr">
        <is>
          <t>Potencia do carregador</t>
        </is>
      </c>
      <c r="C24" s="47">
        <f>ENTRADAS!C46</f>
        <v/>
      </c>
      <c r="D24" s="2" t="inlineStr">
        <is>
          <t>kW</t>
        </is>
      </c>
      <c r="H24" s="2" t="inlineStr">
        <is>
          <t>POTENCIA: define corrente, bitola do cabo e disjuntor</t>
        </is>
      </c>
    </row>
    <row r="25">
      <c r="B25" s="4" t="inlineStr">
        <is>
          <t>Tempo de carga por dia  =  energia do dia / potencia</t>
        </is>
      </c>
      <c r="C25" s="29">
        <f>IFERROR(C13/C8/C24,0)</f>
        <v/>
      </c>
      <c r="D25" s="2" t="inlineStr">
        <is>
          <t>horas/dia</t>
        </is>
      </c>
      <c r="H25" s="2" t="inlineStr">
        <is>
          <t>ENERGIA (kWh) dividida por POTENCIA (kW) = TEMPO (h)</t>
        </is>
      </c>
    </row>
    <row r="26">
      <c r="B26" s="4" t="inlineStr">
        <is>
          <t>Tempo para carga completa 0-100%</t>
        </is>
      </c>
      <c r="C26" s="29">
        <f>IFERROR(ENTRADAS!C41/ENTRADAS!C45/C24,0)</f>
        <v/>
      </c>
      <c r="D26" s="2" t="inlineStr">
        <is>
          <t>horas</t>
        </is>
      </c>
      <c r="H26" s="2" t="inlineStr">
        <is>
          <t>Bateria inteira partindo de vazia</t>
        </is>
      </c>
    </row>
    <row r="27">
      <c r="B27" s="4" t="inlineStr">
        <is>
          <t>Corrente do carregador em 220 V</t>
        </is>
      </c>
      <c r="C27" s="29">
        <f>IFERROR(C24*1000/220,0)</f>
        <v/>
      </c>
      <c r="D27" s="2" t="inlineStr">
        <is>
          <t>A</t>
        </is>
      </c>
      <c r="H27" s="2" t="inlineStr">
        <is>
          <t>Corrente nominal de operacao</t>
        </is>
      </c>
    </row>
    <row r="28">
      <c r="B28" s="4" t="inlineStr">
        <is>
          <t>Disjuntor do circuito (125% da corrente - NBR 5410)</t>
        </is>
      </c>
      <c r="C28" s="29">
        <f>IFERROR(C27*1.25,0)</f>
        <v/>
      </c>
      <c r="D28" s="2" t="inlineStr">
        <is>
          <t>A</t>
        </is>
      </c>
      <c r="H28" s="2" t="inlineStr">
        <is>
          <t>Carga continua: circuito dimensionado a 125%</t>
        </is>
      </c>
    </row>
    <row r="29">
      <c r="B29" s="4" t="inlineStr">
        <is>
          <t>Energia entregue em 1 hora de carregador ligado</t>
        </is>
      </c>
      <c r="C29" s="29">
        <f>C24*1</f>
        <v/>
      </c>
      <c r="D29" s="2" t="inlineStr">
        <is>
          <t>kWh</t>
        </is>
      </c>
      <c r="H29" s="2" t="inlineStr">
        <is>
          <t>EXEMPLO DA LOGICA: 7,4 kW x 3 h = 22,2 kWh</t>
        </is>
      </c>
    </row>
    <row r="31">
      <c r="B31" s="7" t="inlineStr">
        <is>
          <t>4) CENARIOS DE CONSUMO</t>
        </is>
      </c>
      <c r="C31" s="8" t="n"/>
      <c r="D31" s="8" t="n"/>
      <c r="E31" s="8" t="n"/>
      <c r="F31" s="8" t="n"/>
      <c r="G31" s="8" t="n"/>
      <c r="H31" s="8" t="n"/>
    </row>
    <row r="32">
      <c r="B32" s="17" t="inlineStr">
        <is>
          <t>Cenario</t>
        </is>
      </c>
      <c r="C32" s="17" t="inlineStr">
        <is>
          <t>Residencia (kWh/mes)</t>
        </is>
      </c>
      <c r="D32" s="17" t="inlineStr">
        <is>
          <t>BYD (kWh/mes)</t>
        </is>
      </c>
      <c r="E32" s="17" t="inlineStr">
        <is>
          <t>Margem (kWh/mes)</t>
        </is>
      </c>
      <c r="F32" s="17" t="inlineStr">
        <is>
          <t>CONSUMO TOTAL (kWh/mes)</t>
        </is>
      </c>
      <c r="G32" s="17" t="inlineStr">
        <is>
          <t>Consumo anual (kWh)</t>
        </is>
      </c>
    </row>
    <row r="33">
      <c r="B33" s="18" t="inlineStr">
        <is>
          <t>1 - So a residencia (base pura, sem o carro)</t>
        </is>
      </c>
      <c r="C33" s="32">
        <f>ENTRADAS!C52</f>
        <v/>
      </c>
      <c r="D33" s="39">
        <f>0</f>
        <v/>
      </c>
      <c r="E33" s="39">
        <f>0</f>
        <v/>
      </c>
      <c r="F33" s="48">
        <f>C33+D33+E33</f>
        <v/>
      </c>
      <c r="G33" s="39">
        <f>F33*12</f>
        <v/>
      </c>
    </row>
    <row r="34">
      <c r="B34" s="18" t="inlineStr">
        <is>
          <t>2 - RESIDENCIA + BYD tudo no eletrico</t>
        </is>
      </c>
      <c r="C34" s="32">
        <f>ENTRADAS!C52</f>
        <v/>
      </c>
      <c r="D34" s="39">
        <f>C13</f>
        <v/>
      </c>
      <c r="E34" s="39">
        <f>0</f>
        <v/>
      </c>
      <c r="F34" s="48">
        <f>C34+D34+E34</f>
        <v/>
      </c>
      <c r="G34" s="39">
        <f>F34*12</f>
        <v/>
      </c>
    </row>
    <row r="35">
      <c r="B35" s="51" t="inlineStr">
        <is>
          <t>3 - RESIDENCIA + BYD + CRESCIMENTO</t>
        </is>
      </c>
      <c r="C35" s="32">
        <f>ENTRADAS!C52</f>
        <v/>
      </c>
      <c r="D35" s="39">
        <f>C13</f>
        <v/>
      </c>
      <c r="E35" s="39">
        <f>(C35+D35)*ENTRADAS!C48</f>
        <v/>
      </c>
      <c r="F35" s="52">
        <f>C35+D35+E35</f>
        <v/>
      </c>
      <c r="G35" s="39">
        <f>F35*12</f>
        <v/>
      </c>
    </row>
    <row r="37">
      <c r="C37" s="5">
        <f>"O BYD aumenta o consumo da residencia em "&amp;TEXT(IFERROR(D34/C34,0),"0.0%")&amp;" - de "&amp;TEXT(C34,"0")&amp;" para "&amp;TEXT(F34,"0")&amp;" kWh/mes."</f>
        <v/>
      </c>
    </row>
    <row r="38">
      <c r="C38" s="5">
        <f>"O Cenario 3 ("&amp;TEXT(F35,"0")&amp;" kWh/mes) e o que deve orientar o dimensionamento, NAO a media de "&amp;TEXT(C33,"0")&amp;" kWh/mes da conta."</f>
        <v/>
      </c>
    </row>
    <row r="40">
      <c r="B40" s="7" t="inlineStr">
        <is>
          <t>5) DIA x NOITE - ONDE CARREGAR COMPENSA MAIS</t>
        </is>
      </c>
      <c r="C40" s="8" t="n"/>
      <c r="D40" s="8" t="n"/>
      <c r="E40" s="8" t="n"/>
      <c r="F40" s="8" t="n"/>
      <c r="G40" s="8" t="n"/>
      <c r="H40" s="8" t="n"/>
    </row>
    <row r="41">
      <c r="B41" s="17" t="inlineStr">
        <is>
          <t>Estrategia</t>
        </is>
      </c>
      <c r="C41" s="17" t="inlineStr">
        <is>
          <t>Como funciona</t>
        </is>
      </c>
      <c r="D41" s="17" t="inlineStr">
        <is>
          <t>Custo por kWh</t>
        </is>
      </c>
      <c r="E41" s="17" t="inlineStr">
        <is>
          <t>Custo mensal do carro</t>
        </is>
      </c>
      <c r="F41" s="17" t="inlineStr">
        <is>
          <t>Vantagem</t>
        </is>
      </c>
      <c r="G41" s="17" t="inlineStr">
        <is>
          <t>Desvantagem</t>
        </is>
      </c>
    </row>
    <row r="42">
      <c r="B42" s="53" t="inlineStr">
        <is>
          <t>Carregar de DIA (8h as 14h)</t>
        </is>
      </c>
      <c r="C42" s="54" t="inlineStr">
        <is>
          <t>Autoconsumo instantaneo: a energia vai do painel direto para o carro</t>
        </is>
      </c>
      <c r="D42" s="55">
        <f>0</f>
        <v/>
      </c>
      <c r="E42" s="56">
        <f>0</f>
        <v/>
      </c>
      <c r="F42" s="54" t="inlineStr">
        <is>
          <t>Nao passa pelo medidor: nao paga Fio B, nao paga nada</t>
        </is>
      </c>
      <c r="G42" s="54" t="inlineStr">
        <is>
          <t>Precisa que o carro esteja em casa de manha. Telhado SE gera mais de manha - combina bem</t>
        </is>
      </c>
    </row>
    <row r="43">
      <c r="B43" s="53" t="inlineStr">
        <is>
          <t>Carregar a NOITE</t>
        </is>
      </c>
      <c r="C43" s="54" t="inlineStr">
        <is>
          <t>A geracao do dia vira credito e a noite o credito e usado</t>
        </is>
      </c>
      <c r="D43" s="55">
        <f>ENTRADAS!C25</f>
        <v/>
      </c>
      <c r="E43" s="55">
        <f>C13*ENTRADAS!C25</f>
        <v/>
      </c>
      <c r="F43" s="54" t="inlineStr">
        <is>
          <t>Comodidade: chega, pluga e dorme</t>
        </is>
      </c>
      <c r="G43" s="54" t="inlineStr">
        <is>
          <t>Paga o Fio B sobre tudo o que foi compensado. Em 2026 sao 60% da TUSD, em 2029 sera 100%</t>
        </is>
      </c>
    </row>
    <row r="44">
      <c r="B44" s="53" t="inlineStr">
        <is>
          <t>Carregar SEM energia solar</t>
        </is>
      </c>
      <c r="C44" s="54" t="inlineStr">
        <is>
          <t>Tarifa cheia da Enel</t>
        </is>
      </c>
      <c r="D44" s="55">
        <f>ENTRADAS!C18</f>
        <v/>
      </c>
      <c r="E44" s="57">
        <f>C13*ENTRADAS!C18</f>
        <v/>
      </c>
      <c r="F44" s="54" t="inlineStr">
        <is>
          <t>Nenhuma</t>
        </is>
      </c>
      <c r="G44" s="54" t="inlineStr">
        <is>
          <t>Custo maximo</t>
        </is>
      </c>
    </row>
    <row r="45">
      <c r="B45" s="21" t="inlineStr">
        <is>
          <t>Ganho anual de carregar de DIA em vez de a NOITE:</t>
        </is>
      </c>
    </row>
    <row r="46">
      <c r="C46" s="23">
        <f>(E43-E42)*12</f>
        <v/>
      </c>
      <c r="D46" s="2" t="inlineStr">
        <is>
          <t>R$/ano. Parece pouco hoje porque o Fio B esta em 60%. Em 2029 sera 100% e esse ganho quase dobra.</t>
        </is>
      </c>
    </row>
    <row r="47">
      <c r="B47" s="4" t="inlineStr">
        <is>
          <t>RECOMENDACAO: programar o carregamento do veiculo para iniciar entre 9h e 10h nos dias em que o carro ficar em casa.</t>
        </is>
      </c>
    </row>
    <row r="48">
      <c r="B48" s="4" t="inlineStr">
        <is>
          <t>O app do BYD permite agendar horario de carga. Vale a pena usar, e o ganho cresce todo ano com a regra do Fio B.</t>
        </is>
      </c>
    </row>
    <row r="51">
      <c r="B51" s="7" t="inlineStr">
        <is>
          <t>6) QUAL VAI SER O MEU CONSUMO? OS DOIS CAMINHOS POSSIVEIS</t>
        </is>
      </c>
      <c r="C51" s="8" t="n"/>
      <c r="D51" s="8" t="n"/>
      <c r="E51" s="8" t="n"/>
      <c r="F51" s="8" t="n"/>
      <c r="G51" s="8" t="n"/>
      <c r="H51" s="8" t="n"/>
    </row>
    <row r="52">
      <c r="B52" s="4" t="inlineStr">
        <is>
          <t>Base residencial PURA (10 meses estaveis, antes do degrau)</t>
        </is>
      </c>
      <c r="C52" s="46">
        <f>CONTA!C77*30.4</f>
        <v/>
      </c>
      <c r="D52" s="2" t="inlineStr">
        <is>
          <t>kWh/mes</t>
        </is>
      </c>
    </row>
    <row r="53">
      <c r="B53" s="4" t="inlineStr">
        <is>
          <t>Consumo ATUAL medido (ultimos 3 meses, ja com o degrau)</t>
        </is>
      </c>
      <c r="C53" s="46">
        <f>CONTA!C78*30.4</f>
        <v/>
      </c>
      <c r="D53" s="2" t="inlineStr">
        <is>
          <t>kWh/mes</t>
        </is>
      </c>
    </row>
    <row r="54">
      <c r="B54" s="4" t="inlineStr">
        <is>
          <t>Degrau detectado na conta</t>
        </is>
      </c>
      <c r="C54" s="46">
        <f>CONTA!C80</f>
        <v/>
      </c>
      <c r="D54" s="2" t="inlineStr">
        <is>
          <t>kWh/mes</t>
        </is>
      </c>
    </row>
    <row r="55">
      <c r="B55" s="4" t="inlineStr">
        <is>
          <t>Energia da rede por km rodado</t>
        </is>
      </c>
      <c r="C55" s="47">
        <f>CONTA!C86</f>
        <v/>
      </c>
      <c r="D55" s="2" t="inlineStr">
        <is>
          <t>kWh/km</t>
        </is>
      </c>
    </row>
    <row r="57" ht="46" customHeight="1">
      <c r="B57" s="17" t="inlineStr">
        <is>
          <t>Quilometragem do BYD</t>
        </is>
      </c>
      <c r="C57" s="17" t="inlineStr">
        <is>
          <t>km/dia aprox.</t>
        </is>
      </c>
      <c r="D57" s="17" t="inlineStr">
        <is>
          <t>kWh/mes da rede so do carro</t>
        </is>
      </c>
      <c r="E57" s="17" t="inlineStr">
        <is>
          <t>CASO A: o degrau JA e o carro -&gt; total</t>
        </is>
      </c>
      <c r="F57" s="17" t="inlineStr">
        <is>
          <t>kWp necessario (+10%)</t>
        </is>
      </c>
      <c r="G57" s="17" t="inlineStr">
        <is>
          <t>CASO B: o carro ainda vai entrar -&gt; total</t>
        </is>
      </c>
      <c r="H57" s="17" t="inlineStr">
        <is>
          <t>kWp necessario (+10%)</t>
        </is>
      </c>
    </row>
    <row r="58">
      <c r="B58" s="11" t="n">
        <v>400</v>
      </c>
      <c r="C58" s="39">
        <f>B58/30.4</f>
        <v/>
      </c>
      <c r="D58" s="39">
        <f>B58*$C$55</f>
        <v/>
      </c>
      <c r="E58" s="39">
        <f>$C$52+D58</f>
        <v/>
      </c>
      <c r="F58" s="58">
        <f>E58*12/GERACAO!$I$17*1.1</f>
        <v/>
      </c>
      <c r="G58" s="39">
        <f>$C$53+D58</f>
        <v/>
      </c>
      <c r="H58" s="59">
        <f>G58*12/GERACAO!$I$17*1.1</f>
        <v/>
      </c>
    </row>
    <row r="59">
      <c r="B59" s="11" t="n">
        <v>600</v>
      </c>
      <c r="C59" s="39">
        <f>B59/30.4</f>
        <v/>
      </c>
      <c r="D59" s="39">
        <f>B59*$C$55</f>
        <v/>
      </c>
      <c r="E59" s="39">
        <f>$C$52+D59</f>
        <v/>
      </c>
      <c r="F59" s="58">
        <f>E59*12/GERACAO!$I$17*1.1</f>
        <v/>
      </c>
      <c r="G59" s="39">
        <f>$C$53+D59</f>
        <v/>
      </c>
      <c r="H59" s="59">
        <f>G59*12/GERACAO!$I$17*1.1</f>
        <v/>
      </c>
    </row>
    <row r="60">
      <c r="B60" s="11" t="n">
        <v>800</v>
      </c>
      <c r="C60" s="39">
        <f>B60/30.4</f>
        <v/>
      </c>
      <c r="D60" s="39">
        <f>B60*$C$55</f>
        <v/>
      </c>
      <c r="E60" s="39">
        <f>$C$52+D60</f>
        <v/>
      </c>
      <c r="F60" s="58">
        <f>E60*12/GERACAO!$I$17*1.1</f>
        <v/>
      </c>
      <c r="G60" s="39">
        <f>$C$53+D60</f>
        <v/>
      </c>
      <c r="H60" s="59">
        <f>G60*12/GERACAO!$I$17*1.1</f>
        <v/>
      </c>
    </row>
    <row r="61">
      <c r="B61" s="11" t="n">
        <v>1000</v>
      </c>
      <c r="C61" s="39">
        <f>B61/30.4</f>
        <v/>
      </c>
      <c r="D61" s="39">
        <f>B61*$C$55</f>
        <v/>
      </c>
      <c r="E61" s="39">
        <f>$C$52+D61</f>
        <v/>
      </c>
      <c r="F61" s="58">
        <f>E61*12/GERACAO!$I$17*1.1</f>
        <v/>
      </c>
      <c r="G61" s="39">
        <f>$C$53+D61</f>
        <v/>
      </c>
      <c r="H61" s="59">
        <f>G61*12/GERACAO!$I$17*1.1</f>
        <v/>
      </c>
    </row>
    <row r="62">
      <c r="B62" s="11" t="n">
        <v>1200</v>
      </c>
      <c r="C62" s="39">
        <f>B62/30.4</f>
        <v/>
      </c>
      <c r="D62" s="39">
        <f>B62*$C$55</f>
        <v/>
      </c>
      <c r="E62" s="39">
        <f>$C$52+D62</f>
        <v/>
      </c>
      <c r="F62" s="58">
        <f>E62*12/GERACAO!$I$17*1.1</f>
        <v/>
      </c>
      <c r="G62" s="39">
        <f>$C$53+D62</f>
        <v/>
      </c>
      <c r="H62" s="59">
        <f>G62*12/GERACAO!$I$17*1.1</f>
        <v/>
      </c>
    </row>
    <row r="63">
      <c r="B63" s="11" t="n">
        <v>1500</v>
      </c>
      <c r="C63" s="39">
        <f>B63/30.4</f>
        <v/>
      </c>
      <c r="D63" s="39">
        <f>B63*$C$55</f>
        <v/>
      </c>
      <c r="E63" s="39">
        <f>$C$52+D63</f>
        <v/>
      </c>
      <c r="F63" s="58">
        <f>E63*12/GERACAO!$I$17*1.1</f>
        <v/>
      </c>
      <c r="G63" s="39">
        <f>$C$53+D63</f>
        <v/>
      </c>
      <c r="H63" s="59">
        <f>G63*12/GERACAO!$I$17*1.1</f>
        <v/>
      </c>
    </row>
    <row r="65">
      <c r="B65" s="4" t="inlineStr">
        <is>
          <t>CASO A (coluna E): o degrau de maio/26 JA e o carregamento do carro. Entao a residencia pura consome 352 kWh/mes</t>
        </is>
      </c>
    </row>
    <row r="66">
      <c r="B66" s="4" t="inlineStr">
        <is>
          <t xml:space="preserve">   e o total futuro e 352 + o carro na quilometragem que voce realmente rodar. NAO some o degrau duas vezes.</t>
        </is>
      </c>
    </row>
    <row r="67">
      <c r="B67" s="4" t="inlineStr">
        <is>
          <t>CASO B (coluna G): o degrau foi outra carga (ar-condicionado, mais gente em casa) e o carro ainda vai entrar.</t>
        </is>
      </c>
    </row>
    <row r="68">
      <c r="B68" s="4" t="inlineStr">
        <is>
          <t xml:space="preserve">   Entao a base e o consumo atual de 468 kWh/mes e o carro soma por cima.</t>
        </is>
      </c>
    </row>
    <row r="69">
      <c r="B69" s="4" t="inlineStr"/>
    </row>
    <row r="70">
      <c r="B70" s="5" t="inlineStr">
        <is>
          <t>A linha de 600 km/mes e a que corresponde ao degrau medido na conta. Se for esse o seu caso e o carro ja carrega,</t>
        </is>
      </c>
    </row>
    <row r="71">
      <c r="B71" s="4" t="inlineStr">
        <is>
          <t>voce precisa de cerca de 4,9 kWp - e nao dos 6,2 a 6,8 kWp que os orcamentos estao oferecendo.</t>
        </is>
      </c>
    </row>
    <row r="72">
      <c r="B72" s="4" t="inlineStr">
        <is>
          <t>Isso vale de 2 a 3 placas de diferenca, ou algo entre R$ 3 mil e R$ 5 mil.</t>
        </is>
      </c>
    </row>
    <row r="73">
      <c r="B73" s="4" t="inlineStr"/>
    </row>
    <row r="74">
      <c r="B74" s="5" t="inlineStr">
        <is>
          <t>COMO RESOLVER SEM ADIVINHAR: o app do BYD mostra a quilometragem rodada e o consumo em modo eletrico.</t>
        </is>
      </c>
    </row>
    <row r="75">
      <c r="B75" s="4" t="inlineStr">
        <is>
          <t>Olhe o total de km do mes e quanto rodou em eletrico. Com esse numero a coluna certa desta tabela aparece sozinha.</t>
        </is>
      </c>
    </row>
    <row r="78">
      <c r="B78" s="7" t="inlineStr">
        <is>
          <t>7) LIMITE FISICO DA BATERIA - DA PARA RODAR 80 km/dia SO NO ELETRICO?</t>
        </is>
      </c>
      <c r="C78" s="8" t="n"/>
      <c r="D78" s="8" t="n"/>
      <c r="E78" s="8" t="n"/>
      <c r="F78" s="8" t="n"/>
      <c r="G78" s="8" t="n"/>
      <c r="H78" s="8" t="n"/>
    </row>
    <row r="79">
      <c r="B79" s="4" t="inlineStr">
        <is>
          <t>Bateria nominal do Song Pro DM-i</t>
        </is>
      </c>
      <c r="C79" s="29">
        <f>ENTRADAS!C41</f>
        <v/>
      </c>
      <c r="D79" s="2" t="inlineStr">
        <is>
          <t>kWh</t>
        </is>
      </c>
      <c r="H79" s="2" t="inlineStr">
        <is>
          <t>ESTIMATIVA a confirmar no manual</t>
        </is>
      </c>
    </row>
    <row r="80">
      <c r="B80" s="4" t="inlineStr">
        <is>
          <t>Reserva mantida para o modo hibrido</t>
        </is>
      </c>
      <c r="C80" s="30">
        <f>ENTRADAS!C49</f>
        <v/>
      </c>
      <c r="D80" s="2" t="inlineStr"/>
      <c r="H80" s="2" t="inlineStr">
        <is>
          <t>O DM-i nao esvazia a bateria - guarda reserva para rodar como hibrido</t>
        </is>
      </c>
    </row>
    <row r="81">
      <c r="B81" s="4" t="inlineStr">
        <is>
          <t>Energia UTIL por carga (na bateria)</t>
        </is>
      </c>
      <c r="C81" s="29">
        <f>C79*(1-C80)</f>
        <v/>
      </c>
      <c r="D81" s="2" t="inlineStr">
        <is>
          <t>kWh</t>
        </is>
      </c>
      <c r="H81" s="2" t="inlineStr">
        <is>
          <t>E o que sobra para rodar em modo eletrico</t>
        </is>
      </c>
    </row>
    <row r="82">
      <c r="B82" s="4" t="inlineStr">
        <is>
          <t>Energia da REDE por carga completa</t>
        </is>
      </c>
      <c r="C82" s="29">
        <f>IFERROR(C81/ENTRADAS!C45,0)</f>
        <v/>
      </c>
      <c r="D82" s="2" t="inlineStr">
        <is>
          <t>kWh</t>
        </is>
      </c>
      <c r="H82" s="2" t="inlineStr">
        <is>
          <t>Inclui as perdas de carregamento</t>
        </is>
      </c>
    </row>
    <row r="83">
      <c r="B83" s="21" t="inlineStr">
        <is>
          <t>KM COBERTOS POR UMA CARGA</t>
        </is>
      </c>
      <c r="C83" s="38">
        <f>IFERROR(C81/(ENTRADAS!C42/100),0)</f>
        <v/>
      </c>
      <c r="D83" s="2" t="inlineStr">
        <is>
          <t>km</t>
        </is>
      </c>
      <c r="H83" s="2" t="inlineStr">
        <is>
          <t>Autonomia eletrica real por carga</t>
        </is>
      </c>
    </row>
    <row r="84">
      <c r="B84" s="4" t="inlineStr">
        <is>
          <t>km/dia que voce roda</t>
        </is>
      </c>
      <c r="C84" s="12">
        <f>ENTRADAS!C43</f>
        <v/>
      </c>
      <c r="D84" s="2" t="inlineStr">
        <is>
          <t>km/dia</t>
        </is>
      </c>
      <c r="H84" s="2" t="inlineStr">
        <is>
          <t>Informado: 80 km/dia</t>
        </is>
      </c>
    </row>
    <row r="85">
      <c r="B85" s="21" t="inlineStr">
        <is>
          <t>CARGAS NECESSARIAS POR DIA</t>
        </is>
      </c>
      <c r="C85" s="60">
        <f>IFERROR(C84/C83,0)</f>
        <v/>
      </c>
      <c r="D85" s="2" t="inlineStr">
        <is>
          <t>cargas/dia</t>
        </is>
      </c>
      <c r="H85" s="2" t="inlineStr">
        <is>
          <t>Acima de 1 significa que uma carga em casa NAO cobre o dia</t>
        </is>
      </c>
    </row>
    <row r="86">
      <c r="B86" s="4" t="inlineStr">
        <is>
          <t>km/dia que ficam na GASOLINA com uma carga so</t>
        </is>
      </c>
      <c r="C86" s="12">
        <f>MAX(0,C84-C83)</f>
        <v/>
      </c>
      <c r="D86" s="2" t="inlineStr">
        <is>
          <t>km/dia</t>
        </is>
      </c>
      <c r="H86" s="2" t="inlineStr">
        <is>
          <t>Energia que o sistema solar NAO substitui</t>
        </is>
      </c>
    </row>
    <row r="87">
      <c r="B87" s="4" t="inlineStr">
        <is>
          <t>Tempo total de carga por dia no carregador de 3,3 kW</t>
        </is>
      </c>
      <c r="C87" s="29">
        <f>IFERROR(C84*ENTRADAS!C42/100/ENTRADAS!C45/ENTRADAS!C46,0)</f>
        <v/>
      </c>
      <c r="D87" s="2" t="inlineStr">
        <is>
          <t>horas/dia</t>
        </is>
      </c>
      <c r="H87" s="2" t="inlineStr">
        <is>
          <t>Somando as duas sessoes. Nao e o gargalo - o gargalo e o carro estar plugado duas vezes</t>
        </is>
      </c>
    </row>
    <row r="88">
      <c r="C88" s="5">
        <f>IF(C85&gt;1,"NAO COBRE COM UMA CARGA - sao necessarias "&amp;TEXT(C85,"0.0")&amp;" cargas por dia para rodar tudo no eletrico","Uma carga por dia cobre a quilometragem")</f>
        <v/>
      </c>
    </row>
    <row r="90">
      <c r="B90" s="7" t="inlineStr">
        <is>
          <t>8) ESTRATEGIAS DE CARREGAMENTO E O SISTEMA QUE CADA UMA EXIGE</t>
        </is>
      </c>
      <c r="C90" s="8" t="n"/>
      <c r="D90" s="8" t="n"/>
      <c r="E90" s="8" t="n"/>
      <c r="F90" s="8" t="n"/>
      <c r="G90" s="8" t="n"/>
      <c r="H90" s="8" t="n"/>
    </row>
    <row r="91" ht="44" customHeight="1">
      <c r="B91" s="17" t="inlineStr">
        <is>
          <t>Estrategia de carregamento</t>
        </is>
      </c>
      <c r="C91" s="17" t="inlineStr">
        <is>
          <t>kWh/dia da rede</t>
        </is>
      </c>
      <c r="D91" s="17" t="inlineStr">
        <is>
          <t>kWh/mes da rede</t>
        </is>
      </c>
      <c r="E91" s="17" t="inlineStr">
        <is>
          <t>Consumo TOTAL (base 352 + carro)</t>
        </is>
      </c>
      <c r="F91" s="17" t="inlineStr">
        <is>
          <t>kWp necessario (+10%)</t>
        </is>
      </c>
      <c r="G91" s="17" t="inlineStr">
        <is>
          <t>Modulos de 650 W</t>
        </is>
      </c>
    </row>
    <row r="92">
      <c r="B92" s="61" t="inlineStr">
        <is>
          <t>1 - Uma carga por dia em casa (limite da bateria)</t>
        </is>
      </c>
      <c r="C92" s="19">
        <f>C82</f>
        <v/>
      </c>
      <c r="D92" s="39">
        <f>C92*ENTRADAS!C44</f>
        <v/>
      </c>
      <c r="E92" s="39">
        <f>ENTRADAS!C52+D92</f>
        <v/>
      </c>
      <c r="F92" s="19">
        <f>IFERROR(E92*12/GERACAO!$I$17*1.1,0)</f>
        <v/>
      </c>
      <c r="G92" s="39">
        <f>IFERROR(ROUNDUP(F92*1000/650,0),0)</f>
        <v/>
      </c>
      <c r="H92" s="2" t="inlineStr">
        <is>
          <t>cobre ~60 dos 80 km; o resto na gasolina</t>
        </is>
      </c>
    </row>
    <row r="93">
      <c r="B93" s="62" t="inlineStr">
        <is>
          <t>2 - DUAS cargas por dia: 80 km TODO ELETRICO</t>
        </is>
      </c>
      <c r="C93" s="19">
        <f>ENTRADAS!C43*ENTRADAS!C42/100/ENTRADAS!C45</f>
        <v/>
      </c>
      <c r="D93" s="39">
        <f>C93*ENTRADAS!C44</f>
        <v/>
      </c>
      <c r="E93" s="63">
        <f>ENTRADAS!C52+D93</f>
        <v/>
      </c>
      <c r="F93" s="59">
        <f>IFERROR(E93*12/GERACAO!$I$17*1.1,0)</f>
        <v/>
      </c>
      <c r="G93" s="63">
        <f>IFERROR(ROUNDUP(F93*1000/650,0),0)</f>
        <v/>
      </c>
      <c r="H93" s="10" t="inlineStr">
        <is>
          <t>E O SEU OBJETIVO. Exige o carro plugado duas vezes ao dia</t>
        </is>
      </c>
    </row>
    <row r="94">
      <c r="B94" s="61" t="inlineStr">
        <is>
          <t>3 - Carga parcial de hoje (o degrau da conta)</t>
        </is>
      </c>
      <c r="C94" s="19">
        <f>IFERROR(CONTA!C80/ENTRADAS!C44,0)</f>
        <v/>
      </c>
      <c r="D94" s="39">
        <f>C94*ENTRADAS!C44</f>
        <v/>
      </c>
      <c r="E94" s="39">
        <f>ENTRADAS!C52+D94</f>
        <v/>
      </c>
      <c r="F94" s="19">
        <f>IFERROR(E94*12/GERACAO!$I$17*1.1,0)</f>
        <v/>
      </c>
      <c r="G94" s="39">
        <f>IFERROR(ROUNDUP(F94*1000/650,0),0)</f>
        <v/>
      </c>
      <c r="H94" s="2" t="inlineStr">
        <is>
          <t>E o que a conta mostra acontecendo hoje: so ~19 km/dia de carga</t>
        </is>
      </c>
    </row>
    <row r="95">
      <c r="B95" s="61" t="inlineStr">
        <is>
          <t>4 - SEU PADRAO REAL: 1 carga/dia repondo 50%, 30 dias</t>
        </is>
      </c>
      <c r="C95" s="19">
        <f>C13/ENTRADAS!C44</f>
        <v/>
      </c>
      <c r="D95" s="39">
        <f>C95*ENTRADAS!C44</f>
        <v/>
      </c>
      <c r="E95" s="64">
        <f>ENTRADAS!C52+D95</f>
        <v/>
      </c>
      <c r="F95" s="58">
        <f>IFERROR(E95*12/GERACAO!$I$17*1.1,0)</f>
        <v/>
      </c>
      <c r="G95" s="64">
        <f>IFERROR(ROUNDUP(F95*1000/650,0),0)</f>
        <v/>
      </c>
      <c r="H95" s="2" t="inlineStr">
        <is>
          <t>E O CENARIO ADOTADO NA PLANILHA. Cobre ~40 dos 80 km/dia; o resto vai na gasolina</t>
        </is>
      </c>
    </row>
    <row r="96">
      <c r="B96" s="3" t="inlineStr">
        <is>
          <t>O ACHADO MAIS IMPORTANTE DESTE BLOCO:</t>
        </is>
      </c>
    </row>
    <row r="97">
      <c r="B97" s="4" t="inlineStr">
        <is>
          <t>O Song Pro DM-i tem bateria de 12,9 kWh. Descontando a reserva que o carro guarda para operar como hibrido,</t>
        </is>
      </c>
    </row>
    <row r="98">
      <c r="B98" s="4" t="inlineStr">
        <is>
          <t>sobram cerca de 9,7 kWh uteis por carga, o que rende aproximadamente 60 km de autonomia eletrica.</t>
        </is>
      </c>
    </row>
    <row r="99">
      <c r="B99" s="4" t="inlineStr">
        <is>
          <t>Voce roda 80 km/dia. Portanto UMA carga em casa NAO cobre o seu dia - faltam uns 20 km, que vao na gasolina.</t>
        </is>
      </c>
    </row>
    <row r="100">
      <c r="B100" s="4" t="inlineStr"/>
    </row>
    <row r="101">
      <c r="B101" s="3" t="inlineStr">
        <is>
          <t>Para rodar TUDO no eletrico voce precisa de DUAS sessoes de carga por dia. Isso significa uma destas rotinas:</t>
        </is>
      </c>
    </row>
    <row r="102">
      <c r="B102" s="4" t="inlineStr">
        <is>
          <t xml:space="preserve">  (a) carregar de madrugada e novamente quando voltar para casa no meio do dia; ou</t>
        </is>
      </c>
    </row>
    <row r="103">
      <c r="B103" s="4" t="inlineStr">
        <is>
          <t xml:space="preserve">  (b) carregar em casa e uma segunda vez no trabalho ou em eletroposto.</t>
        </is>
      </c>
    </row>
    <row r="104">
      <c r="B104" s="4" t="inlineStr">
        <is>
          <t>O tempo nao e o problema: 4,5 h somadas no carregador de 3,3 kW. O problema e o carro estar plugado duas vezes.</t>
        </is>
      </c>
    </row>
    <row r="105">
      <c r="B105" s="5" t="inlineStr">
        <is>
          <t>SE A SUA ROTINA E SAIR E SO VOLTAR NO FIM DO DIA, os 80 km todo eletrico NAO sao possiveis carregando so em casa,</t>
        </is>
      </c>
    </row>
    <row r="106">
      <c r="B106" s="4" t="inlineStr">
        <is>
          <t>por mais placas que voce instale. Nesse caso o cenario realista e a Estrategia 1, com ~20 km/dia na gasolina.</t>
        </is>
      </c>
    </row>
    <row r="107">
      <c r="B107" s="4" t="inlineStr"/>
    </row>
    <row r="108">
      <c r="B108" s="5" t="inlineStr">
        <is>
          <t>CONSEQUENCIA PARA O DIMENSIONAMENTO: a Estrategia 2 exige de 12 a 13 modulos de 650 W (cerca de 7,7 a 8,5 kWp).</t>
        </is>
      </c>
    </row>
    <row r="109">
      <c r="B109" s="4" t="inlineStr">
        <is>
          <t>TODOS os dez orcamentos da planilha estao subdimensionados para esse objetivo - o maior deles tem 7,38 kWp.</t>
        </is>
      </c>
    </row>
    <row r="110">
      <c r="B110" s="4" t="inlineStr"/>
    </row>
    <row r="111">
      <c r="B111" s="5" t="inlineStr">
        <is>
          <t>OPORTUNIDADE: como voce vai carregar duas vezes ao dia, uma das sessoes pode ficar entre 9h e 15h, em cima da</t>
        </is>
      </c>
    </row>
    <row r="112">
      <c r="B112" s="4" t="inlineStr">
        <is>
          <t>geracao solar. Isso e autoconsumo instantaneo - nao passa pelo medidor e nao paga Fio B. A premissa de 30% de</t>
        </is>
      </c>
    </row>
    <row r="113">
      <c r="B113" s="4" t="inlineStr">
        <is>
          <t>autoconsumo da aba ENTRADAS fica conservadora: com carga diurna do carro ela pode chegar a 45% ou 50%,</t>
        </is>
      </c>
    </row>
    <row r="114">
      <c r="B114" s="4" t="inlineStr">
        <is>
          <t>e a economia sobe. Vale carregar de dia sempre que o carro estiver em casa.</t>
        </is>
      </c>
    </row>
    <row r="120">
      <c r="B120" s="7" t="inlineStr">
        <is>
          <t>9) ELETRICO x GASOLINA - VALE A PENA CARREGAR DUAS VEZES POR DIA?</t>
        </is>
      </c>
      <c r="C120" s="8" t="n"/>
      <c r="D120" s="8" t="n"/>
      <c r="E120" s="8" t="n"/>
      <c r="F120" s="8" t="n"/>
      <c r="G120" s="8" t="n"/>
      <c r="H120" s="8" t="n"/>
    </row>
    <row r="121">
      <c r="B121" s="4" t="inlineStr">
        <is>
          <t>Km rodados por mes</t>
        </is>
      </c>
      <c r="C121" s="12">
        <f>C5*C8</f>
        <v/>
      </c>
      <c r="D121" s="2" t="inlineStr">
        <is>
          <t>km/mes</t>
        </is>
      </c>
      <c r="H121" s="2" t="inlineStr">
        <is>
          <t>80 km/dia x 30 dias</t>
        </is>
      </c>
    </row>
    <row r="122">
      <c r="B122" s="4" t="inlineStr">
        <is>
          <t>Km rodados em modo ELETRICO por mes</t>
        </is>
      </c>
      <c r="C122" s="12">
        <f>IFERROR(C9/(C6/100),0)</f>
        <v/>
      </c>
      <c r="D122" s="2" t="inlineStr">
        <is>
          <t>km/mes</t>
        </is>
      </c>
      <c r="H122" s="2" t="inlineStr">
        <is>
          <t>Limitado pela energia reposta nas cargas</t>
        </is>
      </c>
    </row>
    <row r="123">
      <c r="B123" s="4" t="inlineStr">
        <is>
          <t>Km rodados na GASOLINA por mes</t>
        </is>
      </c>
      <c r="C123" s="12">
        <f>MAX(0,C121-C122)</f>
        <v/>
      </c>
      <c r="D123" s="2" t="inlineStr">
        <is>
          <t>km/mes</t>
        </is>
      </c>
      <c r="H123" s="2" t="inlineStr">
        <is>
          <t>O que a bateria nao cobriu</t>
        </is>
      </c>
    </row>
    <row r="124">
      <c r="B124" s="4" t="inlineStr">
        <is>
          <t>Percentual do trajeto em modo eletrico</t>
        </is>
      </c>
      <c r="C124" s="30">
        <f>IFERROR(C122/C121,0)</f>
        <v/>
      </c>
      <c r="D124" s="2" t="inlineStr"/>
      <c r="H124" s="2" t="inlineStr">
        <is>
          <t>Com uma carga de 50% por dia fica em torno da metade</t>
        </is>
      </c>
    </row>
    <row r="125">
      <c r="B125" s="4" t="inlineStr">
        <is>
          <t>Litros de gasolina por mes</t>
        </is>
      </c>
      <c r="C125" s="29">
        <f>IFERROR(C123/ENTRADAS!C61,0)</f>
        <v/>
      </c>
      <c r="D125" s="2" t="inlineStr">
        <is>
          <t>litros</t>
        </is>
      </c>
      <c r="H125" s="2" t="inlineStr">
        <is>
          <t>ESTIMATIVA: 16 km/l em modo hibrido</t>
        </is>
      </c>
    </row>
    <row r="126">
      <c r="B126" s="21" t="inlineStr">
        <is>
          <t>CUSTO MENSAL DE GASOLINA</t>
        </is>
      </c>
      <c r="C126" s="35">
        <f>C125*ENTRADAS!C62</f>
        <v/>
      </c>
      <c r="D126" s="2" t="inlineStr">
        <is>
          <t>R$/mes</t>
        </is>
      </c>
      <c r="H126" s="2" t="inlineStr">
        <is>
          <t>ESTIMATIVA. Este custo o sistema solar NAO reduz</t>
        </is>
      </c>
    </row>
    <row r="128">
      <c r="B128" s="4" t="inlineStr">
        <is>
          <t>Energia da rede se carregasse 2x/dia (tudo eletrico)</t>
        </is>
      </c>
      <c r="C128" s="12">
        <f>C121*C6/100/ENTRADAS!C45</f>
        <v/>
      </c>
      <c r="D128" s="2" t="inlineStr">
        <is>
          <t>kWh/mes</t>
        </is>
      </c>
      <c r="H128" s="2" t="inlineStr">
        <is>
          <t>Cobre os 2.400 km no eletrico</t>
        </is>
      </c>
    </row>
    <row r="129">
      <c r="B129" s="4" t="inlineStr">
        <is>
          <t>Energia ADICIONAL necessaria (2x/dia menos 1x/dia)</t>
        </is>
      </c>
      <c r="C129" s="12">
        <f>C128-C13</f>
        <v/>
      </c>
      <c r="D129" s="2" t="inlineStr">
        <is>
          <t>kWh/mes</t>
        </is>
      </c>
      <c r="H129" s="2" t="inlineStr">
        <is>
          <t>Quanto mais a casa consumiria</t>
        </is>
      </c>
    </row>
    <row r="130">
      <c r="B130" s="4" t="inlineStr">
        <is>
          <t>Custo dessa energia adicional COM energia solar</t>
        </is>
      </c>
      <c r="C130" s="15">
        <f>C129*ENTRADAS!C25</f>
        <v/>
      </c>
      <c r="D130" s="2" t="inlineStr">
        <is>
          <t>R$/mes</t>
        </is>
      </c>
      <c r="H130" s="2" t="inlineStr">
        <is>
          <t>Compensada por credito: paga-se apenas o Fio B</t>
        </is>
      </c>
    </row>
    <row r="131">
      <c r="B131" s="4" t="inlineStr">
        <is>
          <t>GANHO LIQUIDO DE CARREGAR 2x/DIA</t>
        </is>
      </c>
      <c r="C131" s="65">
        <f>C126-C130</f>
        <v/>
      </c>
      <c r="D131" s="2" t="inlineStr">
        <is>
          <t>R$/mes</t>
        </is>
      </c>
      <c r="H131" s="2" t="inlineStr">
        <is>
          <t>Gasolina economizada menos a energia extra</t>
        </is>
      </c>
    </row>
    <row r="132">
      <c r="B132" s="4" t="inlineStr">
        <is>
          <t>Ganho anual</t>
        </is>
      </c>
      <c r="C132" s="15">
        <f>C131*12</f>
        <v/>
      </c>
      <c r="D132" s="2" t="inlineStr">
        <is>
          <t>R$/ano</t>
        </is>
      </c>
      <c r="H132" s="2" t="inlineStr"/>
    </row>
    <row r="134">
      <c r="B134" s="4" t="inlineStr">
        <is>
          <t>kWp adicionais para suportar o carregamento 2x/dia</t>
        </is>
      </c>
      <c r="C134" s="29">
        <f>IFERROR(C129*12/GERACAO!$I$17,0)</f>
        <v/>
      </c>
      <c r="D134" s="2" t="inlineStr">
        <is>
          <t>kWp</t>
        </is>
      </c>
      <c r="H134" s="2" t="inlineStr">
        <is>
          <t>Potencia extra que o sistema precisaria ter</t>
        </is>
      </c>
    </row>
    <row r="135">
      <c r="B135" s="4" t="inlineStr">
        <is>
          <t>Modulos de 650 W adicionais</t>
        </is>
      </c>
      <c r="C135" s="12">
        <f>IFERROR(ROUNDUP(C134*1000/650,0),0)</f>
        <v/>
      </c>
      <c r="D135" s="2" t="inlineStr">
        <is>
          <t>modulos</t>
        </is>
      </c>
      <c r="H135" s="2" t="inlineStr"/>
    </row>
    <row r="136">
      <c r="B136" s="4" t="inlineStr">
        <is>
          <t>Custo desses modulos adicionais</t>
        </is>
      </c>
      <c r="C136" s="15">
        <f>C135*ENTRADAS!C54</f>
        <v/>
      </c>
      <c r="D136" s="2" t="inlineStr">
        <is>
          <t>R$</t>
        </is>
      </c>
      <c r="H136" s="2" t="inlineStr">
        <is>
          <t>Ao custo marginal estimado de R$ 900 por modulo</t>
        </is>
      </c>
    </row>
    <row r="137">
      <c r="B137" s="21" t="inlineStr">
        <is>
          <t>PAYBACK DO INCREMENTO, EM MESES</t>
        </is>
      </c>
      <c r="C137" s="66">
        <f>IFERROR(C136/C131,0)</f>
        <v/>
      </c>
      <c r="D137" s="2" t="inlineStr">
        <is>
          <t>meses</t>
        </is>
      </c>
      <c r="H137" s="2" t="inlineStr">
        <is>
          <t>Quanto tempo os modulos extras levam para se pagar SO na gasolina economizada</t>
        </is>
      </c>
    </row>
    <row r="139">
      <c r="B139" s="3" t="inlineStr">
        <is>
          <t>O QUE ESTE BLOCO MOSTRA:</t>
        </is>
      </c>
    </row>
    <row r="140">
      <c r="B140" s="4" t="inlineStr">
        <is>
          <t>Carregando uma vez por dia e repondo 50% da bateria, cerca de metade dos seus 2.400 km/mes roda no eletrico</t>
        </is>
      </c>
    </row>
    <row r="141">
      <c r="B141" s="4" t="inlineStr">
        <is>
          <t>e a outra metade na gasolina. O sistema solar nao toca nessa metade - combustivel nao entra na compensacao de energia.</t>
        </is>
      </c>
    </row>
    <row r="142">
      <c r="B142" s="4" t="inlineStr"/>
    </row>
    <row r="143">
      <c r="B143" s="4" t="inlineStr">
        <is>
          <t>Se voce conseguir carregar DUAS vezes por dia, a energia extra da rede custa muito pouco quando ha energia solar</t>
        </is>
      </c>
    </row>
    <row r="144">
      <c r="B144" s="4" t="inlineStr">
        <is>
          <t>(paga-se so o Fio B), enquanto a gasolina economizada e um valor grande. O bloco calcula os dois lados e diz</t>
        </is>
      </c>
    </row>
    <row r="145">
      <c r="B145" s="4" t="inlineStr">
        <is>
          <t>em quantos MESES os modulos adicionais se pagam apenas com a gasolina que voce deixaria de comprar.</t>
        </is>
      </c>
    </row>
    <row r="146">
      <c r="B146" s="4" t="inlineStr"/>
    </row>
    <row r="147">
      <c r="B147" s="5" t="inlineStr">
        <is>
          <t>ATENCAO AS ESTIMATIVAS DESTE BLOCO: o consumo de 16 km/l em modo hibrido e o preco de R$ 6,20/litro sao premissas</t>
        </is>
      </c>
    </row>
    <row r="148">
      <c r="B148" s="4" t="inlineStr">
        <is>
          <t>minhas, editaveis em ENTRADAS C61 e C62. O resultado e sensivel a elas - confira com o consumo real do seu carro.</t>
        </is>
      </c>
    </row>
    <row r="149">
      <c r="B149" s="4" t="inlineStr">
        <is>
          <t>E lembre: carregar 2x/dia exige o carro plugado duas vezes, o que depende da sua rotina, nao do sistema solar.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DIMENSIONAMENTO CORRETO - QUANTO VOCE REALMENTE PRECISA</t>
        </is>
      </c>
    </row>
    <row r="2">
      <c r="A2" s="2" t="inlineStr">
        <is>
          <t>Calculado a partir do consumo projetado, da irradiacao local, das perdas do sistema e da margem tecnica. Nao por regra de bolo.</t>
        </is>
      </c>
    </row>
    <row r="4">
      <c r="B4" s="7" t="inlineStr">
        <is>
          <t>A) MEMORIA DE CALCULO</t>
        </is>
      </c>
      <c r="C4" s="8" t="n"/>
      <c r="D4" s="8" t="n"/>
      <c r="E4" s="8" t="n"/>
      <c r="F4" s="8" t="n"/>
    </row>
    <row r="5">
      <c r="B5" s="4" t="inlineStr">
        <is>
          <t>Geracao anual por kWp no seu telhado SE</t>
        </is>
      </c>
      <c r="C5" s="46">
        <f>GERACAO!I17</f>
        <v/>
      </c>
      <c r="D5" s="2" t="inlineStr">
        <is>
          <t>kWh por kWp por ano</t>
        </is>
      </c>
    </row>
    <row r="6">
      <c r="B6" s="4" t="inlineStr">
        <is>
          <t>Geracao mensal por kWp no seu telhado SE</t>
        </is>
      </c>
      <c r="C6" s="29">
        <f>C5/12</f>
        <v/>
      </c>
      <c r="D6" s="2" t="inlineStr">
        <is>
          <t>kWh por kWp por mes</t>
        </is>
      </c>
    </row>
    <row r="7">
      <c r="B7" s="4" t="inlineStr">
        <is>
          <t>Formula usada</t>
        </is>
      </c>
      <c r="C7" s="4">
        <f>"kWp necessario = consumo anual / "&amp;TEXT(C5,"0")&amp;" kWh por kWp"</f>
        <v/>
      </c>
      <c r="D7" s="2" t="inlineStr"/>
    </row>
    <row r="9">
      <c r="B9" s="7" t="inlineStr">
        <is>
          <t>B) kWp NECESSARIO EM CADA CENARIO</t>
        </is>
      </c>
      <c r="C9" s="8" t="n"/>
      <c r="D9" s="8" t="n"/>
      <c r="E9" s="8" t="n"/>
      <c r="F9" s="8" t="n"/>
    </row>
    <row r="10">
      <c r="B10" s="17" t="inlineStr">
        <is>
          <t>Cenario</t>
        </is>
      </c>
      <c r="C10" s="17" t="inlineStr">
        <is>
          <t>Consumo (kWh/mes)</t>
        </is>
      </c>
      <c r="D10" s="17" t="inlineStr">
        <is>
          <t>Consumo (kWh/ano)</t>
        </is>
      </c>
      <c r="E10" s="17" t="inlineStr">
        <is>
          <t>kWp necessario</t>
        </is>
      </c>
      <c r="F10" s="17" t="inlineStr">
        <is>
          <t>Modulos de 615 W</t>
        </is>
      </c>
    </row>
    <row r="11">
      <c r="B11" s="18" t="inlineStr">
        <is>
          <t>1 - Atual (so residencia)</t>
        </is>
      </c>
      <c r="C11" s="32">
        <f>BYD!F33</f>
        <v/>
      </c>
      <c r="D11" s="39">
        <f>C11*12</f>
        <v/>
      </c>
      <c r="E11" s="19">
        <f>IFERROR(D11/$C$5,0)</f>
        <v/>
      </c>
      <c r="F11" s="39">
        <f>IFERROR(ROUNDUP(E11*1000/615,0),0)</f>
        <v/>
      </c>
    </row>
    <row r="12">
      <c r="B12" s="18" t="inlineStr">
        <is>
          <t>2 - Residencia + BYD</t>
        </is>
      </c>
      <c r="C12" s="32">
        <f>BYD!F34</f>
        <v/>
      </c>
      <c r="D12" s="39">
        <f>C12*12</f>
        <v/>
      </c>
      <c r="E12" s="19">
        <f>IFERROR(D12/$C$5,0)</f>
        <v/>
      </c>
      <c r="F12" s="39">
        <f>IFERROR(ROUNDUP(E12*1000/615,0),0)</f>
        <v/>
      </c>
    </row>
    <row r="13">
      <c r="B13" s="51" t="inlineStr">
        <is>
          <t>3 - Residencia + BYD + crescimento</t>
        </is>
      </c>
      <c r="C13" s="32">
        <f>BYD!F35</f>
        <v/>
      </c>
      <c r="D13" s="39">
        <f>C13*12</f>
        <v/>
      </c>
      <c r="E13" s="67">
        <f>IFERROR(D13/$C$5,0)</f>
        <v/>
      </c>
      <c r="F13" s="39">
        <f>IFERROR(ROUNDUP(E13*1000/615,0),0)</f>
        <v/>
      </c>
    </row>
    <row r="15">
      <c r="B15" s="7" t="inlineStr">
        <is>
          <t>C) AS TRES OPCOES DE PROJETO (com modulos de 615 W)</t>
        </is>
      </c>
      <c r="C15" s="8" t="n"/>
      <c r="D15" s="8" t="n"/>
      <c r="E15" s="8" t="n"/>
      <c r="F15" s="8" t="n"/>
    </row>
    <row r="16">
      <c r="B16" s="17" t="inlineStr"/>
      <c r="C16" s="17" t="inlineStr">
        <is>
          <t>OPCAO A - ECONOMICO</t>
        </is>
      </c>
      <c r="D16" s="17" t="inlineStr">
        <is>
          <t>OPCAO B - IDEAL</t>
        </is>
      </c>
      <c r="E16" s="17" t="inlineStr">
        <is>
          <t>OPCAO C - COM EXPANSAO</t>
        </is>
      </c>
    </row>
    <row r="17">
      <c r="B17" s="4" t="inlineStr">
        <is>
          <t>Meta de atendimento</t>
        </is>
      </c>
      <c r="C17" s="68">
        <f>"100% do Cenario 2"</f>
        <v/>
      </c>
      <c r="D17" s="68">
        <f>"105% do Cenario 3"</f>
        <v/>
      </c>
      <c r="E17" s="68">
        <f>"Cenario 3 + folga para dobrar a km do carro"</f>
        <v/>
      </c>
    </row>
    <row r="18">
      <c r="B18" s="4" t="inlineStr">
        <is>
          <t>kWp alvo</t>
        </is>
      </c>
      <c r="C18" s="69">
        <f>E12</f>
        <v/>
      </c>
      <c r="D18" s="69">
        <f>E13*1.05</f>
        <v/>
      </c>
      <c r="E18" s="69">
        <f>E13*1.25</f>
        <v/>
      </c>
    </row>
    <row r="19">
      <c r="B19" s="4" t="inlineStr">
        <is>
          <t>Quantidade de modulos de 615 W</t>
        </is>
      </c>
      <c r="C19" s="70">
        <f>ROUNDUP(C18*1000/615,0)</f>
        <v/>
      </c>
      <c r="D19" s="70">
        <f>ROUNDUP(D18*1000/615,0)</f>
        <v/>
      </c>
      <c r="E19" s="70">
        <f>ROUNDUP(E18*1000/615,0)</f>
        <v/>
      </c>
    </row>
    <row r="20">
      <c r="B20" s="4" t="inlineStr">
        <is>
          <t>Potencia instalada real (kWp)</t>
        </is>
      </c>
      <c r="C20" s="71">
        <f>C19*615/1000</f>
        <v/>
      </c>
      <c r="D20" s="71">
        <f>D19*615/1000</f>
        <v/>
      </c>
      <c r="E20" s="71">
        <f>E19*615/1000</f>
        <v/>
      </c>
    </row>
    <row r="21">
      <c r="B21" s="4" t="inlineStr">
        <is>
          <t>Inversor recomendado (kW)</t>
        </is>
      </c>
      <c r="C21" s="69">
        <f>5</f>
        <v/>
      </c>
      <c r="D21" s="69">
        <f>6</f>
        <v/>
      </c>
      <c r="E21" s="69">
        <f>7.5</f>
        <v/>
      </c>
    </row>
    <row r="22">
      <c r="B22" s="4" t="inlineStr">
        <is>
          <t>Relacao DC/AC</t>
        </is>
      </c>
      <c r="C22" s="72">
        <f>IFERROR(C20/C21,0)</f>
        <v/>
      </c>
      <c r="D22" s="72">
        <f>IFERROR(D20/D21,0)</f>
        <v/>
      </c>
      <c r="E22" s="72">
        <f>IFERROR(E20/E21,0)</f>
        <v/>
      </c>
    </row>
    <row r="23">
      <c r="B23" s="4" t="inlineStr">
        <is>
          <t>Geracao anual estimada (kWh)</t>
        </is>
      </c>
      <c r="C23" s="70">
        <f>C20*$C$5</f>
        <v/>
      </c>
      <c r="D23" s="70">
        <f>D20*$C$5</f>
        <v/>
      </c>
      <c r="E23" s="70">
        <f>E20*$C$5</f>
        <v/>
      </c>
    </row>
    <row r="24">
      <c r="B24" s="4" t="inlineStr">
        <is>
          <t>Geracao media mensal (kWh)</t>
        </is>
      </c>
      <c r="C24" s="70">
        <f>C23/12</f>
        <v/>
      </c>
      <c r="D24" s="70">
        <f>D23/12</f>
        <v/>
      </c>
      <c r="E24" s="70">
        <f>E23/12</f>
        <v/>
      </c>
    </row>
    <row r="25">
      <c r="B25" s="4" t="inlineStr">
        <is>
          <t>% do Cenario 2 atendido</t>
        </is>
      </c>
      <c r="C25" s="73">
        <f>IFERROR(C23/$D$12,0)</f>
        <v/>
      </c>
      <c r="D25" s="73">
        <f>IFERROR(D23/$D$12,0)</f>
        <v/>
      </c>
      <c r="E25" s="73">
        <f>IFERROR(E23/$D$12,0)</f>
        <v/>
      </c>
    </row>
    <row r="26">
      <c r="B26" s="4" t="inlineStr">
        <is>
          <t>% do Cenario 3 atendido</t>
        </is>
      </c>
      <c r="C26" s="74">
        <f>IFERROR(C23/$D$13,0)</f>
        <v/>
      </c>
      <c r="D26" s="75">
        <f>IFERROR(D23/$D$13,0)</f>
        <v/>
      </c>
      <c r="E26" s="74">
        <f>IFERROR(E23/$D$13,0)</f>
        <v/>
      </c>
    </row>
    <row r="27">
      <c r="B27" s="4" t="inlineStr">
        <is>
          <t>Excedente anual desperdicado (kWh)</t>
        </is>
      </c>
      <c r="C27" s="70">
        <f>MAX(0,C23-$D$13)</f>
        <v/>
      </c>
      <c r="D27" s="70">
        <f>MAX(0,D23-$D$13)</f>
        <v/>
      </c>
      <c r="E27" s="70">
        <f>MAX(0,E23-$D$13)</f>
        <v/>
      </c>
    </row>
    <row r="30">
      <c r="B30" s="3" t="inlineStr">
        <is>
          <t>D) RECOMENDACAO DE DIMENSIONAMENTO</t>
        </is>
      </c>
    </row>
    <row r="31">
      <c r="B31" s="4" t="inlineStr">
        <is>
          <t>A OPCAO B e a recomendada. Motivos tecnicos:</t>
        </is>
      </c>
    </row>
    <row r="32">
      <c r="B32" s="4" t="inlineStr">
        <is>
          <t>1. Ela atende o Cenario 3, que e o unico realista: residencia + carro + margem. A Opcao A cobre o carro de hoje mas</t>
        </is>
      </c>
    </row>
    <row r="33">
      <c r="B33" s="4" t="inlineStr">
        <is>
          <t xml:space="preserve">   nao sobra nada para o crescimento que a propria conta ja mostra (+22% em 6 meses).</t>
        </is>
      </c>
    </row>
    <row r="34">
      <c r="B34" s="4" t="inlineStr">
        <is>
          <t>2. Ela nao joga dinheiro fora. Passar do Cenario 3 gera excedente que vira credito e expira em 60 meses - a linha 27</t>
        </is>
      </c>
    </row>
    <row r="35">
      <c r="B35" s="4" t="inlineStr">
        <is>
          <t xml:space="preserve">   mostra esse desperdicio. Cada kWh gerado acima do consumo tem retorno praticamente zero.</t>
        </is>
      </c>
    </row>
    <row r="36">
      <c r="B36" s="4" t="inlineStr">
        <is>
          <t>3. O inversor de 6 kW da Opcao B ainda aceita cerca de 8,1 kWp (limite DC/AC de 1,35), ou seja, permite acrescentar</t>
        </is>
      </c>
    </row>
    <row r="37">
      <c r="B37" s="4" t="inlineStr">
        <is>
          <t xml:space="preserve">   modulos depois sem trocar o inversor e sem refazer a homologacao. Isso e a expansao futura barata.</t>
        </is>
      </c>
    </row>
    <row r="38">
      <c r="B38" s="4" t="inlineStr">
        <is>
          <t>4. A Opcao C so se justifica se voce souber HOJE que a quilometragem do carro vai crescer muito, ou se pretende</t>
        </is>
      </c>
    </row>
    <row r="39">
      <c r="B39" s="4" t="inlineStr">
        <is>
          <t xml:space="preserve">   instalar ar-condicionado, piscina aquecida ou um segundo veiculo eletrico.</t>
        </is>
      </c>
    </row>
    <row r="40">
      <c r="B40" s="4" t="inlineStr"/>
    </row>
    <row r="41">
      <c r="B41" s="5" t="inlineStr">
        <is>
          <t>ATENCAO: os numeros acima dependem de km/dia do BYD, que ainda e ESTIMATIVA. Se voce rodar 20 km/dia em vez de 40,</t>
        </is>
      </c>
    </row>
    <row r="42">
      <c r="B42" s="4" t="inlineStr">
        <is>
          <t>o kWp necessario cai cerca de 1,3 kWp (2 modulos). Se rodar 60 km/dia, sobe cerca de 1,3 kWp. Informe a km real.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62" customWidth="1" min="16" max="16"/>
  </cols>
  <sheetData>
    <row r="1">
      <c r="A1" s="1" t="inlineStr">
        <is>
          <t>COMPARATIVO DOS ORCAMENTOS - QUADRO PRINCIPAL</t>
        </is>
      </c>
    </row>
    <row r="2">
      <c r="A2" s="2" t="inlineStr">
        <is>
          <t>Contatos nas linhas 5 a 7. Colunas A e B: TecSolarSP, preco de MATERIAL. As demais: preco INSTALADO. A linha do PRECO TOTAL INSTALADO e a unica comparavel entre todos.</t>
        </is>
      </c>
    </row>
    <row r="4" ht="52" customHeight="1">
      <c r="B4" s="17" t="inlineStr">
        <is>
          <t>ITEM</t>
        </is>
      </c>
      <c r="C4" s="17" t="inlineStr">
        <is>
          <t>A) TecSolarSP
JA Solar 615W
Huawei 6 kW</t>
        </is>
      </c>
      <c r="D4" s="17" t="inlineStr">
        <is>
          <t>B) TecSolarSP
Astronergy 605W
Huawei 6 kW</t>
        </is>
      </c>
      <c r="E4" s="17" t="inlineStr">
        <is>
          <t>C) SunWash
TCL 620W
AUXSOL 5 kW</t>
        </is>
      </c>
      <c r="F4" s="17" t="inlineStr">
        <is>
          <t>D) SunWash
TCL 620W
HUAWEI 5 kW</t>
        </is>
      </c>
      <c r="G4" s="17" t="inlineStr">
        <is>
          <t>E) William
Maxeon 535W
Solis 4 kW</t>
        </is>
      </c>
      <c r="H4" s="17" t="inlineStr">
        <is>
          <t>F) Sun Coast v1
RONMA 585W
AUXSOL 3 kW
(SUPERADA)</t>
        </is>
      </c>
      <c r="I4" s="17" t="inlineStr">
        <is>
          <t>G) SunWash
MICRO 10x650W
3x Deye 2,25 kW</t>
        </is>
      </c>
      <c r="J4" s="17" t="inlineStr">
        <is>
          <t>H) Sfero (Renato)
Longi/DAH 590W
2x micro 2,5 kW</t>
        </is>
      </c>
      <c r="K4" s="17" t="inlineStr">
        <is>
          <t>I) Sun Coast v2
TCL 620W x11
AUXSOL 7,5 kW</t>
        </is>
      </c>
      <c r="L4" s="17" t="inlineStr">
        <is>
          <t>J) AD BioSolar
JA Solar 615W x10
Huawei SUN2000-6KTL-L1</t>
        </is>
      </c>
      <c r="M4" s="17" t="inlineStr">
        <is>
          <t>SIMULACAO G12
MICRO 12x650W
4x Deye 2,25 kW</t>
        </is>
      </c>
      <c r="N4" s="17" t="inlineStr">
        <is>
          <t>SIMULACAO G14
MICRO 14x650W
4x Deye 2,25 kW</t>
        </is>
      </c>
      <c r="O4" s="17" t="inlineStr">
        <is>
          <t>M) Bruno G4
(a receber)</t>
        </is>
      </c>
      <c r="P4" s="17" t="inlineStr">
        <is>
          <t>OBSERVACOES / ALERTAS</t>
        </is>
      </c>
    </row>
    <row r="5">
      <c r="B5" s="76" t="inlineStr">
        <is>
          <t>EMPRESA / razao social</t>
        </is>
      </c>
      <c r="C5" s="77" t="inlineStr">
        <is>
          <t>TecSolarSP</t>
        </is>
      </c>
      <c r="D5" s="77" t="inlineStr">
        <is>
          <t>TecSolarSP</t>
        </is>
      </c>
      <c r="E5" s="77" t="inlineStr">
        <is>
          <t>SunWash Energia Solar e Ar-Condicionado</t>
        </is>
      </c>
      <c r="F5" s="77" t="inlineStr">
        <is>
          <t>SunWash Energia Solar e Ar-Condicionado</t>
        </is>
      </c>
      <c r="G5" s="78" t="inlineStr">
        <is>
          <t>nao informada na proposta</t>
        </is>
      </c>
      <c r="H5" s="77" t="inlineStr">
        <is>
          <t>Sun Coast Materiais Eletricos e Energia Solar</t>
        </is>
      </c>
      <c r="I5" s="77" t="inlineStr">
        <is>
          <t>SunWash Energia Solar e Ar-Condicionado</t>
        </is>
      </c>
      <c r="J5" s="77" t="inlineStr">
        <is>
          <t>Sfero</t>
        </is>
      </c>
      <c r="K5" s="77" t="inlineStr">
        <is>
          <t>Sun Coast Materiais Eletricos e Energia Solar</t>
        </is>
      </c>
      <c r="L5" s="77" t="inlineStr">
        <is>
          <t>AD BioSolar</t>
        </is>
      </c>
      <c r="M5" s="77" t="inlineStr">
        <is>
          <t>SunWash - SIMULACAO, preco a confirmar</t>
        </is>
      </c>
      <c r="N5" s="77" t="inlineStr">
        <is>
          <t>SunWash - SIMULACAO, preco a confirmar</t>
        </is>
      </c>
      <c r="O5" s="77" t="inlineStr">
        <is>
          <t>G4 (razao social a confirmar)</t>
        </is>
      </c>
      <c r="P5" s="79" t="inlineStr">
        <is>
          <t>ALERTA: SunWash, William e Sfero nao informaram razao social. Sem empresa identificada nao existe garantia exigivel.</t>
        </is>
      </c>
    </row>
    <row r="6">
      <c r="B6" s="76" t="inlineStr">
        <is>
          <t>NOME DO RESPONSAVEL</t>
        </is>
      </c>
      <c r="C6" s="77" t="inlineStr">
        <is>
          <t>nao informado (razao social: Edijane Gomes dos Santos)</t>
        </is>
      </c>
      <c r="D6" s="77" t="inlineStr">
        <is>
          <t>nao informado (razao social: Edijane Gomes dos Santos)</t>
        </is>
      </c>
      <c r="E6" s="77" t="inlineStr">
        <is>
          <t>Yuri</t>
        </is>
      </c>
      <c r="F6" s="77" t="inlineStr">
        <is>
          <t>Yuri</t>
        </is>
      </c>
      <c r="G6" s="77" t="inlineStr">
        <is>
          <t>William</t>
        </is>
      </c>
      <c r="H6" s="77" t="inlineStr">
        <is>
          <t>Alexandre</t>
        </is>
      </c>
      <c r="I6" s="77" t="inlineStr">
        <is>
          <t>Yuri</t>
        </is>
      </c>
      <c r="J6" s="77" t="inlineStr">
        <is>
          <t>nao informado (indicacao do Renato)</t>
        </is>
      </c>
      <c r="K6" s="77" t="inlineStr">
        <is>
          <t>Alexandre</t>
        </is>
      </c>
      <c r="L6" s="77" t="inlineStr">
        <is>
          <t>Adriano Melo (proposta) / Carlos (negociacao)</t>
        </is>
      </c>
      <c r="M6" s="77" t="inlineStr">
        <is>
          <t>Yuri</t>
        </is>
      </c>
      <c r="N6" s="77" t="inlineStr">
        <is>
          <t>Yuri</t>
        </is>
      </c>
      <c r="O6" s="77" t="inlineStr">
        <is>
          <t>Bruno</t>
        </is>
      </c>
      <c r="P6" s="80" t="inlineStr">
        <is>
          <t>Quem falou com voce. Peca sempre que a proposta saia com nome e CNPJ da empresa, nao apenas o contato pessoal.</t>
        </is>
      </c>
    </row>
    <row r="7">
      <c r="B7" s="76" t="inlineStr">
        <is>
          <t>TELEFONE DE CONTATO</t>
        </is>
      </c>
      <c r="C7" s="77" t="inlineStr">
        <is>
          <t>(11) 97365-9192</t>
        </is>
      </c>
      <c r="D7" s="77" t="inlineStr">
        <is>
          <t>(11) 97365-9192</t>
        </is>
      </c>
      <c r="E7" s="77" t="inlineStr">
        <is>
          <t>(16) 99353-4346</t>
        </is>
      </c>
      <c r="F7" s="77" t="inlineStr">
        <is>
          <t>(16) 99353-4346</t>
        </is>
      </c>
      <c r="G7" s="77" t="inlineStr">
        <is>
          <t>(11) 99636-5333</t>
        </is>
      </c>
      <c r="H7" s="77" t="inlineStr">
        <is>
          <t>(11) 91544-8947</t>
        </is>
      </c>
      <c r="I7" s="77" t="inlineStr">
        <is>
          <t>(16) 99353-4346</t>
        </is>
      </c>
      <c r="J7" s="77" t="inlineStr">
        <is>
          <t>(11) 99705-1311 (Renato)</t>
        </is>
      </c>
      <c r="K7" s="77" t="inlineStr">
        <is>
          <t>(11) 91544-8947</t>
        </is>
      </c>
      <c r="L7" s="77" t="inlineStr">
        <is>
          <t>(11) 97350-3103 / Carlos (11) 91408-8892</t>
        </is>
      </c>
      <c r="M7" s="77" t="inlineStr">
        <is>
          <t>(16) 99353-4346</t>
        </is>
      </c>
      <c r="N7" s="77" t="inlineStr">
        <is>
          <t>(16) 99353-4346</t>
        </is>
      </c>
      <c r="O7" s="77" t="inlineStr">
        <is>
          <t>(11) 96861-7830</t>
        </is>
      </c>
      <c r="P7" s="80" t="inlineStr">
        <is>
          <t>A Sfero chegou por indicacao do Renato - o telefone e dele, nao da empresa. Pedir o contato direto da Sfero.</t>
        </is>
      </c>
    </row>
    <row r="8">
      <c r="B8" s="81" t="inlineStr">
        <is>
          <t>CNPJ informado na proposta</t>
        </is>
      </c>
      <c r="C8" s="82" t="inlineStr">
        <is>
          <t>29.775.600/0001-03</t>
        </is>
      </c>
      <c r="D8" s="82" t="inlineStr">
        <is>
          <t>29.775.600/0001-03</t>
        </is>
      </c>
      <c r="E8" s="78" t="inlineStr">
        <is>
          <t>NAO INFORMADO</t>
        </is>
      </c>
      <c r="F8" s="78" t="inlineStr">
        <is>
          <t>NAO INFORMADO</t>
        </is>
      </c>
      <c r="G8" s="78" t="inlineStr">
        <is>
          <t>NAO INFORMADO</t>
        </is>
      </c>
      <c r="H8" s="82" t="inlineStr">
        <is>
          <t>47.864.839/0001-31</t>
        </is>
      </c>
      <c r="I8" s="78" t="inlineStr">
        <is>
          <t>NAO INFORMADO</t>
        </is>
      </c>
      <c r="J8" s="78" t="inlineStr">
        <is>
          <t>NAO INFORMADO na proposta</t>
        </is>
      </c>
      <c r="K8" s="82" t="inlineStr">
        <is>
          <t>47.864.839/0001-31</t>
        </is>
      </c>
      <c r="L8" s="82" t="inlineStr">
        <is>
          <t>64.313.573/0001-58</t>
        </is>
      </c>
      <c r="M8" s="78" t="inlineStr">
        <is>
          <t>NAO INFORMADO</t>
        </is>
      </c>
      <c r="N8" s="78" t="inlineStr">
        <is>
          <t>NAO INFORMADO</t>
        </is>
      </c>
      <c r="O8" s="82" t="inlineStr"/>
      <c r="P8" s="79" t="inlineStr">
        <is>
          <t>ALERTA: so Sun Coast, AD BioSolar e TecSolarSP (via cotacao do distribuidor) tem CNPJ identificado.</t>
        </is>
      </c>
    </row>
    <row r="9">
      <c r="B9" s="81" t="inlineStr">
        <is>
          <t>Documento recebido</t>
        </is>
      </c>
      <c r="C9" s="82" t="inlineStr">
        <is>
          <t>Cotacao Belenergy WEB-006506779</t>
        </is>
      </c>
      <c r="D9" s="82" t="inlineStr">
        <is>
          <t>Cotacao Belenergy WEB-006512519</t>
        </is>
      </c>
      <c r="E9" s="82" t="inlineStr">
        <is>
          <t>WhatsApp 10/08/2026</t>
        </is>
      </c>
      <c r="F9" s="82" t="inlineStr">
        <is>
          <t>WhatsApp 10/08/2026</t>
        </is>
      </c>
      <c r="G9" s="82" t="inlineStr">
        <is>
          <t>Proposta tecnica de 7 paginas</t>
        </is>
      </c>
      <c r="H9" s="82" t="inlineStr">
        <is>
          <t>Proposta 40436 de 11/08/2026 (val. 20/08)</t>
        </is>
      </c>
      <c r="I9" s="82" t="inlineStr">
        <is>
          <t>Proposta 6695731 + PEDIDO Route 66 no 7123382 (val. 15/08)</t>
        </is>
      </c>
      <c r="J9" s="82" t="inlineStr">
        <is>
          <t>Proposta 0664/2026 de 11/08/2026 (val. 10 dias)</t>
        </is>
      </c>
      <c r="K9" s="82" t="inlineStr">
        <is>
          <t>Proposta 40438 de 11/08/2026 (val. 20/08)</t>
        </is>
      </c>
      <c r="L9" s="82" t="inlineStr">
        <is>
          <t>Proposta #01237 de 12/08/2026 (val. 27/08) - substitui a #01225</t>
        </is>
      </c>
      <c r="M9" s="82" t="inlineStr">
        <is>
          <t>SIMULACAO: opcao G escalada para 12 modulos</t>
        </is>
      </c>
      <c r="N9" s="82" t="inlineStr">
        <is>
          <t>SIMULACAO: opcao G escalada para 14 modulos</t>
        </is>
      </c>
      <c r="O9" s="82" t="inlineStr">
        <is>
          <t>Nada recebido</t>
        </is>
      </c>
      <c r="P9" s="79" t="inlineStr">
        <is>
          <t>ALERTA: orcamento por WhatsApp nao e proposta comercial. Sfero, Sun Coast, AD BioSolar e William entregaram documento formal.</t>
        </is>
      </c>
    </row>
    <row r="10">
      <c r="B10" s="76" t="inlineStr">
        <is>
          <t>TIPO DE PRECO</t>
        </is>
      </c>
      <c r="C10" s="83" t="inlineStr">
        <is>
          <t>MATERIAL apenas</t>
        </is>
      </c>
      <c r="D10" s="83" t="inlineStr">
        <is>
          <t>MATERIAL apenas</t>
        </is>
      </c>
      <c r="E10" s="83" t="inlineStr">
        <is>
          <t>INSTALADO (turnkey)</t>
        </is>
      </c>
      <c r="F10" s="83" t="inlineStr">
        <is>
          <t>INSTALADO (turnkey)</t>
        </is>
      </c>
      <c r="G10" s="83" t="inlineStr">
        <is>
          <t>INSTALADO (turnkey)</t>
        </is>
      </c>
      <c r="H10" s="83" t="inlineStr">
        <is>
          <t>INSTALADO (turnkey)</t>
        </is>
      </c>
      <c r="I10" s="83" t="inlineStr">
        <is>
          <t>MATERIAL? A ESCLARECER</t>
        </is>
      </c>
      <c r="J10" s="83" t="inlineStr">
        <is>
          <t>INSTALADO (turnkey)</t>
        </is>
      </c>
      <c r="K10" s="83" t="inlineStr">
        <is>
          <t>INSTALADO (turnkey)</t>
        </is>
      </c>
      <c r="L10" s="83" t="inlineStr">
        <is>
          <t>INSTALADO (turnkey)</t>
        </is>
      </c>
      <c r="M10" s="83" t="inlineStr">
        <is>
          <t>INSTALADO (turnkey)</t>
        </is>
      </c>
      <c r="N10" s="83" t="inlineStr">
        <is>
          <t>INSTALADO (turnkey)</t>
        </is>
      </c>
      <c r="O10" s="83" t="inlineStr">
        <is>
          <t>?</t>
        </is>
      </c>
      <c r="P10" s="79" t="inlineStr">
        <is>
          <t>ALERTA: comparar MATERIAL com INSTALADO e o erro mais comum. As linhas de homologacao e instalacao corrigem isso.</t>
        </is>
      </c>
    </row>
    <row r="11">
      <c r="B11" s="81" t="inlineStr">
        <is>
          <t>Quantidade de modulos</t>
        </is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10</v>
      </c>
      <c r="M11" s="84" t="n">
        <v>12</v>
      </c>
      <c r="N11" s="84" t="n">
        <v>14</v>
      </c>
      <c r="O11" s="85" t="inlineStr"/>
      <c r="P11" s="80" t="inlineStr">
        <is>
          <t>Informada por cada fornecedor.</t>
        </is>
      </c>
    </row>
    <row r="12">
      <c r="B12" s="81" t="inlineStr">
        <is>
          <t>Potencia por modulo (W)</t>
        </is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 t="inlineStr"/>
      <c r="P12" s="80" t="inlineStr">
        <is>
          <t>A SunWash escreveu '620kw' e '650w' - erro de digitacao para watts.</t>
        </is>
      </c>
    </row>
    <row r="13">
      <c r="B13" s="81" t="inlineStr">
        <is>
          <t>Fabricante / tecnologia do modulo</t>
        </is>
      </c>
      <c r="C13" s="82" t="inlineStr">
        <is>
          <t>JA Solar bifacial N-type</t>
        </is>
      </c>
      <c r="D13" s="82" t="inlineStr">
        <is>
          <t>Astronergy bifacial N-type</t>
        </is>
      </c>
      <c r="E13" s="82" t="inlineStr">
        <is>
          <t>TCL 620 W (tecnologia a confirmar)</t>
        </is>
      </c>
      <c r="F13" s="82" t="inlineStr">
        <is>
          <t>TCL 620 W (tecnologia a confirmar)</t>
        </is>
      </c>
      <c r="G13" s="82" t="inlineStr">
        <is>
          <t>Maxeon bifacial PERC</t>
        </is>
      </c>
      <c r="H13" s="82" t="inlineStr">
        <is>
          <t>RONMA SOLAR bifacial N-type 144 cel</t>
        </is>
      </c>
      <c r="I13" s="82" t="inlineStr">
        <is>
          <t>ZNShine ZXNR-MD132-650 (confirmado no pedido Route 66)</t>
        </is>
      </c>
      <c r="J13" s="82" t="inlineStr">
        <is>
          <t>Longi ou DAH Solar (Tier 1 de verdade)</t>
        </is>
      </c>
      <c r="K13" s="82" t="inlineStr">
        <is>
          <t>TCL Solar bifacial N-type 132 cel</t>
        </is>
      </c>
      <c r="L13" s="82" t="inlineStr">
        <is>
          <t>JA Solar bifacial N-type 132 cel - TIER 1</t>
        </is>
      </c>
      <c r="M13" s="82" t="inlineStr">
        <is>
          <t>ZNShine ZXNR-MD132-650 N-type (Tier 1 BNEF)</t>
        </is>
      </c>
      <c r="N13" s="82" t="inlineStr">
        <is>
          <t>ZNShine ZXNR-MD132-650 N-type (Tier 1 BNEF)</t>
        </is>
      </c>
      <c r="O13" s="82" t="inlineStr"/>
      <c r="P13" s="79" t="inlineStr">
        <is>
          <t>ALERTA: Maxeon do William e PERC, uma geracao atras. TCL e RONMA tem pouquissima rede de assistencia no Brasil. JA Solar, Longi e DAH sao Tier 1 com representacao aqui.</t>
        </is>
      </c>
    </row>
    <row r="14">
      <c r="B14" s="76" t="inlineStr">
        <is>
          <t>POTENCIA DC (kWp)</t>
        </is>
      </c>
      <c r="C14" s="86">
        <f>C11*C12/1000</f>
        <v/>
      </c>
      <c r="D14" s="86">
        <f>D11*D12/1000</f>
        <v/>
      </c>
      <c r="E14" s="86">
        <f>E11*E12/1000</f>
        <v/>
      </c>
      <c r="F14" s="86">
        <f>F11*F12/1000</f>
        <v/>
      </c>
      <c r="G14" s="86">
        <f>G11*G12/1000</f>
        <v/>
      </c>
      <c r="H14" s="86">
        <f>H11*H12/1000</f>
        <v/>
      </c>
      <c r="I14" s="86">
        <f>I11*I12/1000</f>
        <v/>
      </c>
      <c r="J14" s="86">
        <f>J11*J12/1000</f>
        <v/>
      </c>
      <c r="K14" s="86">
        <f>K11*K12/1000</f>
        <v/>
      </c>
      <c r="L14" s="86">
        <f>L11*L12/1000</f>
        <v/>
      </c>
      <c r="M14" s="86">
        <f>M11*M12/1000</f>
        <v/>
      </c>
      <c r="N14" s="86">
        <f>N11*N12/1000</f>
        <v/>
      </c>
      <c r="O14" s="86" t="inlineStr"/>
      <c r="P14" s="80" t="inlineStr">
        <is>
          <t>Quantidade x potencia do modulo / 1000.</t>
        </is>
      </c>
    </row>
    <row r="15">
      <c r="B15" s="81" t="inlineStr">
        <is>
          <t>Inversor</t>
        </is>
      </c>
      <c r="C15" s="82" t="inlineStr">
        <is>
          <t>Huawei 6 kW mono 220V 2 MPPT</t>
        </is>
      </c>
      <c r="D15" s="82" t="inlineStr">
        <is>
          <t>Huawei 6 kW mono 220V 2 MPPT</t>
        </is>
      </c>
      <c r="E15" s="82" t="inlineStr">
        <is>
          <t>AUXSOL 5 kW (modelo nao informado)</t>
        </is>
      </c>
      <c r="F15" s="82" t="inlineStr">
        <is>
          <t>HUAWEI 5 kW (modelo nao informado)</t>
        </is>
      </c>
      <c r="G15" s="82" t="inlineStr">
        <is>
          <t>Solis 4 kW mono 220V 2 MPPT</t>
        </is>
      </c>
      <c r="H15" s="82" t="inlineStr">
        <is>
          <t>AUXSOL 3 kW mono 220V 1 MPPT</t>
        </is>
      </c>
      <c r="I15" s="82" t="inlineStr">
        <is>
          <t>3x DEYE SUN-S225G4-EU-Q0 2,25 kW = 6,75 kW AC</t>
        </is>
      </c>
      <c r="J15" s="82" t="inlineStr">
        <is>
          <t>2x microinversor 2,5 kW = 5,0 kW AC - Solis ou Growatt</t>
        </is>
      </c>
      <c r="K15" s="82" t="inlineStr">
        <is>
          <t>AUXSOL 7,5 kW mono 220V 2 MPPT (100% over)</t>
        </is>
      </c>
      <c r="L15" s="82" t="inlineStr">
        <is>
          <t>HUAWEI SUN2000-6KTL-L1 6.000 W (modelo EXATO informado)</t>
        </is>
      </c>
      <c r="M15" s="82" t="inlineStr">
        <is>
          <t>3x DEYE SUN-S225G4-EU-Q0 = 6,75 kW AC (12 dos 12 canais)</t>
        </is>
      </c>
      <c r="N15" s="82" t="inlineStr">
        <is>
          <t>4x DEYE SUN-S225G4-EU-Q0 = 9,0 kW AC (exige o 4o micro)</t>
        </is>
      </c>
      <c r="O15" s="82" t="inlineStr"/>
      <c r="P15" s="79" t="inlineStr">
        <is>
          <t>ALERTA: AUXSOL tem baixa penetracao no Brasil. Huawei, Solis e Growatt tem assistencia estabelecida. So a AD BioSolar informou o MODELO EXATO.</t>
        </is>
      </c>
    </row>
    <row r="16">
      <c r="B16" s="81" t="inlineStr">
        <is>
          <t>Potencia AC do inversor (kW)</t>
        </is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6.75</v>
      </c>
      <c r="J16" s="87" t="n">
        <v>5</v>
      </c>
      <c r="K16" s="87" t="n">
        <v>7.5</v>
      </c>
      <c r="L16" s="87" t="n">
        <v>6</v>
      </c>
      <c r="M16" s="87" t="n">
        <v>6.75</v>
      </c>
      <c r="N16" s="87" t="n">
        <v>9</v>
      </c>
      <c r="O16" s="88" t="inlineStr"/>
      <c r="P16" s="80" t="inlineStr">
        <is>
          <t>Exigir o codigo exato do modelo, como fez a AD BioSolar (SUN2000-5KTL-L1).</t>
        </is>
      </c>
    </row>
    <row r="17">
      <c r="B17" s="81" t="inlineStr">
        <is>
          <t>Numero de MPPTs</t>
        </is>
      </c>
      <c r="C17" s="82" t="inlineStr">
        <is>
          <t>2</t>
        </is>
      </c>
      <c r="D17" s="82" t="inlineStr">
        <is>
          <t>2</t>
        </is>
      </c>
      <c r="E17" s="82" t="inlineStr">
        <is>
          <t>a confirmar</t>
        </is>
      </c>
      <c r="F17" s="82" t="inlineStr">
        <is>
          <t>a confirmar</t>
        </is>
      </c>
      <c r="G17" s="82" t="inlineStr">
        <is>
          <t>2</t>
        </is>
      </c>
      <c r="H17" s="82" t="inlineStr">
        <is>
          <t>1</t>
        </is>
      </c>
      <c r="I17" s="82" t="inlineStr">
        <is>
          <t>4 por micro = 12 canais (10 usados, 2 livres)</t>
        </is>
      </c>
      <c r="J17" s="82" t="inlineStr">
        <is>
          <t>1 por modulo (10 MPPTs)</t>
        </is>
      </c>
      <c r="K17" s="82" t="inlineStr">
        <is>
          <t>2</t>
        </is>
      </c>
      <c r="L17" s="82" t="inlineStr">
        <is>
          <t>2 (a confirmar)</t>
        </is>
      </c>
      <c r="M17" s="82" t="inlineStr">
        <is>
          <t>4 por micro = 12 canais (12 usados, 0 livres)</t>
        </is>
      </c>
      <c r="N17" s="82" t="inlineStr">
        <is>
          <t>4 por micro = 16 canais (14 usados, 2 livres)</t>
        </is>
      </c>
      <c r="O17" s="82" t="inlineStr"/>
      <c r="P17" s="79" t="inlineStr">
        <is>
          <t>ALERTA: Sun Coast v1 usava 1 MPPT UNICO para 8 modulos. As opcoes com microinversor dao 1 MPPT POR MODULO: sombra em um modulo nao afeta os outros e permite usar mais de uma agua do telhado.</t>
        </is>
      </c>
    </row>
    <row r="18">
      <c r="B18" s="76" t="inlineStr">
        <is>
          <t>RELACAO DC/AC</t>
        </is>
      </c>
      <c r="C18" s="89">
        <f>IFERROR(C14/C16,0)</f>
        <v/>
      </c>
      <c r="D18" s="89">
        <f>IFERROR(D14/D16,0)</f>
        <v/>
      </c>
      <c r="E18" s="89">
        <f>IFERROR(E14/E16,0)</f>
        <v/>
      </c>
      <c r="F18" s="89">
        <f>IFERROR(F14/F16,0)</f>
        <v/>
      </c>
      <c r="G18" s="89">
        <f>IFERROR(G14/G16,0)</f>
        <v/>
      </c>
      <c r="H18" s="89">
        <f>IFERROR(H14/H16,0)</f>
        <v/>
      </c>
      <c r="I18" s="89">
        <f>IFERROR(I14/I16,0)</f>
        <v/>
      </c>
      <c r="J18" s="89">
        <f>IFERROR(J14/J16,0)</f>
        <v/>
      </c>
      <c r="K18" s="89">
        <f>IFERROR(K14/K16,0)</f>
        <v/>
      </c>
      <c r="L18" s="89">
        <f>IFERROR(L14/L16,0)</f>
        <v/>
      </c>
      <c r="M18" s="89">
        <f>IFERROR(M14/M16,0)</f>
        <v/>
      </c>
      <c r="N18" s="89">
        <f>IFERROR(N14/N16,0)</f>
        <v/>
      </c>
      <c r="O18" s="89" t="inlineStr"/>
      <c r="P18" s="79" t="inlineStr">
        <is>
          <t>ALERTA: faixa saudavel de 1,10 a 1,35. Sun Coast v1 em 1,56 = clipping e risco de perder garantia. Abaixo de 1,10 voce pagou por inversor que nao vai usar - aceitavel se for folga proposital para expansao.</t>
        </is>
      </c>
    </row>
    <row r="19">
      <c r="B19" s="81" t="inlineStr">
        <is>
          <t>Tensao de operacao</t>
        </is>
      </c>
      <c r="C19" s="90" t="inlineStr">
        <is>
          <t>220 V (2 fases)</t>
        </is>
      </c>
      <c r="D19" s="90" t="inlineStr">
        <is>
          <t>220 V (2 fases)</t>
        </is>
      </c>
      <c r="E19" s="90" t="inlineStr">
        <is>
          <t>220 V (a confirmar)</t>
        </is>
      </c>
      <c r="F19" s="90" t="inlineStr">
        <is>
          <t>220 V (a confirmar)</t>
        </is>
      </c>
      <c r="G19" s="90" t="inlineStr">
        <is>
          <t>220 V (2 fases)</t>
        </is>
      </c>
      <c r="H19" s="90" t="inlineStr">
        <is>
          <t>220 V (2 fases)</t>
        </is>
      </c>
      <c r="I19" s="90" t="inlineStr">
        <is>
          <t>220 V (a confirmar)</t>
        </is>
      </c>
      <c r="J19" s="90" t="inlineStr">
        <is>
          <t>220 V (a confirmar)</t>
        </is>
      </c>
      <c r="K19" s="90" t="inlineStr">
        <is>
          <t>220 V (2 fases)</t>
        </is>
      </c>
      <c r="L19" s="90" t="inlineStr">
        <is>
          <t>220 V (2 fases)</t>
        </is>
      </c>
      <c r="M19" s="90" t="inlineStr">
        <is>
          <t>220 V (a confirmar)</t>
        </is>
      </c>
      <c r="N19" s="90" t="inlineStr">
        <is>
          <t>220 V (a confirmar)</t>
        </is>
      </c>
      <c r="O19" s="90" t="inlineStr"/>
      <c r="P19" s="79" t="inlineStr">
        <is>
          <t>ALERTA MAIOR: sua ligacao e MONOFASICA (127 V na Enel SP). TODOS exigem mudanca para bifasico.</t>
        </is>
      </c>
    </row>
    <row r="20">
      <c r="B20" s="81" t="inlineStr">
        <is>
          <t>Tipo de telha que o orcamento considerou</t>
        </is>
      </c>
      <c r="C20" s="82" t="inlineStr">
        <is>
          <t>Fibrocimento</t>
        </is>
      </c>
      <c r="D20" s="82" t="inlineStr">
        <is>
          <t>Fibrocimento</t>
        </is>
      </c>
      <c r="E20" s="78" t="inlineStr">
        <is>
          <t>nao informada</t>
        </is>
      </c>
      <c r="F20" s="78" t="inlineStr">
        <is>
          <t>nao informada</t>
        </is>
      </c>
      <c r="G20" s="82" t="inlineStr">
        <is>
          <t>Colonial</t>
        </is>
      </c>
      <c r="H20" s="82" t="inlineStr">
        <is>
          <t>Colonial</t>
        </is>
      </c>
      <c r="I20" s="82" t="inlineStr">
        <is>
          <t>COLONIAL (confirmado: estrutura p/ telha colonial no pedido)</t>
        </is>
      </c>
      <c r="J20" s="82" t="inlineStr">
        <is>
          <t>Ceramico / colonial</t>
        </is>
      </c>
      <c r="K20" s="82" t="inlineStr">
        <is>
          <t>Colonial</t>
        </is>
      </c>
      <c r="L20" s="78" t="inlineStr">
        <is>
          <t>nao informada</t>
        </is>
      </c>
      <c r="M20" s="78" t="inlineStr">
        <is>
          <t>nao informada</t>
        </is>
      </c>
      <c r="N20" s="78" t="inlineStr">
        <is>
          <t>nao informada</t>
        </is>
      </c>
      <c r="O20" s="82" t="inlineStr"/>
      <c r="P20" s="79" t="inlineStr">
        <is>
          <t>ALERTA: William, Sun Coast e Sfero dizem CERAMICA/COLONIAL; a TecSolarSP diz FIBROCIMENTO. Tres contra um. Se for ceramica, a estrutura das duas cotacoes da TecSolarSP esta errada. Uma foto resolve.</t>
        </is>
      </c>
    </row>
    <row r="21">
      <c r="B21" s="81" t="inlineStr">
        <is>
          <t>Area de telhado necessaria (m2)</t>
        </is>
      </c>
      <c r="C21" s="88">
        <f>C11*C12*0.00452</f>
        <v/>
      </c>
      <c r="D21" s="88">
        <f>D11*D12*0.00452</f>
        <v/>
      </c>
      <c r="E21" s="88">
        <f>E11*E12*0.00452</f>
        <v/>
      </c>
      <c r="F21" s="88">
        <f>F11*F12*0.00452</f>
        <v/>
      </c>
      <c r="G21" s="88">
        <f>G11*G12*0.00452</f>
        <v/>
      </c>
      <c r="H21" s="88" t="n">
        <v>21.12</v>
      </c>
      <c r="I21" s="88" t="n">
        <v>25</v>
      </c>
      <c r="J21" s="88" t="n">
        <v>28</v>
      </c>
      <c r="K21" s="88" t="n">
        <v>30.58</v>
      </c>
      <c r="L21" s="88" t="n">
        <v>32.41</v>
      </c>
      <c r="M21" s="88">
        <f>M11*M12*0.00452</f>
        <v/>
      </c>
      <c r="N21" s="88">
        <f>N11*N12*0.00452</f>
        <v/>
      </c>
      <c r="O21" s="88" t="inlineStr"/>
      <c r="P21" s="80" t="inlineStr">
        <is>
          <t>Valores em azul foram DECLARADOS pelo fornecedor; os demais estimados a 0,00452 m2 por watt. Sem fotos do telhado NAO foi verificado se essa area existe na agua Sudeste.</t>
        </is>
      </c>
    </row>
    <row r="22">
      <c r="B22" s="81" t="inlineStr">
        <is>
          <t>Garantia declarada do modulo</t>
        </is>
      </c>
      <c r="C22" s="78" t="inlineStr">
        <is>
          <t>nao informada</t>
        </is>
      </c>
      <c r="D22" s="78" t="inlineStr">
        <is>
          <t>nao informada</t>
        </is>
      </c>
      <c r="E22" s="78" t="inlineStr">
        <is>
          <t>nao informada</t>
        </is>
      </c>
      <c r="F22" s="78" t="inlineStr">
        <is>
          <t>nao informada</t>
        </is>
      </c>
      <c r="G22" s="78" t="inlineStr">
        <is>
          <t>nao informada</t>
        </is>
      </c>
      <c r="H22" s="82" t="inlineStr">
        <is>
          <t>25 anos eficiencia / 15 anos defeito</t>
        </is>
      </c>
      <c r="I22" s="82" t="inlineStr">
        <is>
          <t>proposta diz 12/25 anos; PEDIDO diz 15 anos</t>
        </is>
      </c>
      <c r="J22" s="82" t="inlineStr">
        <is>
          <t>12 anos produto / 25 anos eficiencia</t>
        </is>
      </c>
      <c r="K22" s="82" t="inlineStr">
        <is>
          <t>25 anos eficiencia / 15 anos defeito</t>
        </is>
      </c>
      <c r="L22" s="82" t="inlineStr">
        <is>
          <t>15 anos defeito / 30 anos eficiencia</t>
        </is>
      </c>
      <c r="M22" s="82" t="inlineStr">
        <is>
          <t>exigir por escrito</t>
        </is>
      </c>
      <c r="N22" s="82" t="inlineStr">
        <is>
          <t>exigir por escrito</t>
        </is>
      </c>
      <c r="O22" s="82" t="inlineStr"/>
      <c r="P22" s="80" t="inlineStr">
        <is>
          <t>AD BioSolar tem a melhor: 30 anos de eficiencia e 15 de defeito. TecSolarSP, SunWash e William nao declararam nada.</t>
        </is>
      </c>
    </row>
    <row r="23">
      <c r="B23" s="81" t="inlineStr">
        <is>
          <t>Garantia declarada do inversor</t>
        </is>
      </c>
      <c r="C23" s="78" t="inlineStr">
        <is>
          <t>nao informada</t>
        </is>
      </c>
      <c r="D23" s="78" t="inlineStr">
        <is>
          <t>nao informada</t>
        </is>
      </c>
      <c r="E23" s="78" t="inlineStr">
        <is>
          <t>nao informada</t>
        </is>
      </c>
      <c r="F23" s="78" t="inlineStr">
        <is>
          <t>nao informada</t>
        </is>
      </c>
      <c r="G23" s="78" t="inlineStr">
        <is>
          <t>nao informada</t>
        </is>
      </c>
      <c r="H23" s="82" t="inlineStr">
        <is>
          <t>10 a 25 anos</t>
        </is>
      </c>
      <c r="I23" s="82" t="inlineStr">
        <is>
          <t>proposta diz 12 anos; PEDIDO diz 1 ANO</t>
        </is>
      </c>
      <c r="J23" s="82" t="inlineStr">
        <is>
          <t>7 a 10 anos</t>
        </is>
      </c>
      <c r="K23" s="82" t="inlineStr">
        <is>
          <t>10 a 25 anos</t>
        </is>
      </c>
      <c r="L23" s="82" t="inlineStr">
        <is>
          <t>10 anos</t>
        </is>
      </c>
      <c r="M23" s="82" t="inlineStr">
        <is>
          <t>exigir por escrito (Deye pratica 10 anos)</t>
        </is>
      </c>
      <c r="N23" s="82" t="inlineStr">
        <is>
          <t>exigir por escrito (Deye pratica 10 anos)</t>
        </is>
      </c>
      <c r="O23" s="82" t="inlineStr"/>
      <c r="P23" s="80" t="inlineStr">
        <is>
          <t>AD BioSolar declara 10 anos para um modelo Huawei nomeado - e a unica verificavel. '10 a 25 anos' da Sun Coast e vago.</t>
        </is>
      </c>
    </row>
    <row r="24">
      <c r="B24" s="81" t="inlineStr">
        <is>
          <t>Garantia de servico / seguro</t>
        </is>
      </c>
      <c r="C24" s="78" t="inlineStr">
        <is>
          <t>nao informada</t>
        </is>
      </c>
      <c r="D24" s="78" t="inlineStr">
        <is>
          <t>nao informada</t>
        </is>
      </c>
      <c r="E24" s="78" t="inlineStr">
        <is>
          <t>nao informada</t>
        </is>
      </c>
      <c r="F24" s="78" t="inlineStr">
        <is>
          <t>nao informada</t>
        </is>
      </c>
      <c r="G24" s="78" t="inlineStr">
        <is>
          <t>nao informada</t>
        </is>
      </c>
      <c r="H24" s="82" t="inlineStr">
        <is>
          <t>12 meses</t>
        </is>
      </c>
      <c r="I24" s="82" t="inlineStr">
        <is>
          <t>vistoria, projeto eletrico, ART, licencas, gestao de obra, frete e documentacao</t>
        </is>
      </c>
      <c r="J24" s="82" t="inlineStr">
        <is>
          <t>1 ano instalacao + SEGURO ALL RISK 1 ano + GARANTIA DE PERFORMANCE EM CONTRATO</t>
        </is>
      </c>
      <c r="K24" s="82" t="inlineStr">
        <is>
          <t>12 meses</t>
        </is>
      </c>
      <c r="L24" s="82" t="inlineStr">
        <is>
          <t>vistoria tecnica, ART, licencas, gestao de obra e frete inclusos</t>
        </is>
      </c>
      <c r="M24" s="82" t="inlineStr">
        <is>
          <t>exigir por escrito</t>
        </is>
      </c>
      <c r="N24" s="82" t="inlineStr">
        <is>
          <t>exigir por escrito</t>
        </is>
      </c>
      <c r="O24" s="82" t="inlineStr"/>
      <c r="P24" s="80" t="inlineStr">
        <is>
          <t>So a Sfero oferece seguro All Risk e garantia de performance em contrato. Isso vale dinheiro em risco.</t>
        </is>
      </c>
    </row>
    <row r="25">
      <c r="B25" s="81" t="inlineStr">
        <is>
          <t>Exclusoes declaradas na proposta</t>
        </is>
      </c>
      <c r="C25" s="78" t="inlineStr">
        <is>
          <t>nao informadas</t>
        </is>
      </c>
      <c r="D25" s="78" t="inlineStr">
        <is>
          <t>nao informadas</t>
        </is>
      </c>
      <c r="E25" s="78" t="inlineStr">
        <is>
          <t>nao informadas</t>
        </is>
      </c>
      <c r="F25" s="78" t="inlineStr">
        <is>
          <t>nao informadas</t>
        </is>
      </c>
      <c r="G25" s="78" t="inlineStr">
        <is>
          <t>nao informadas</t>
        </is>
      </c>
      <c r="H25" s="78" t="inlineStr">
        <is>
          <t>padrao de entrada, obras civis, telhado, eletrodutos, ART estrutural</t>
        </is>
      </c>
      <c r="I25" s="82" t="inlineStr">
        <is>
          <t>alvenaria, reforco estrutural e alteracoes na rede pedidas pela concessionaria</t>
        </is>
      </c>
      <c r="J25" s="82" t="inlineStr">
        <is>
          <t>obras civis, reformas no telhado/laje e no PADRAO DE ENTRADA</t>
        </is>
      </c>
      <c r="K25" s="78" t="inlineStr">
        <is>
          <t>padrao de entrada, obras civis, telhado, eletrodutos, ART estrutural</t>
        </is>
      </c>
      <c r="L25" s="82" t="inlineStr">
        <is>
          <t>alvenaria, reforco estrutural e alteracoes na rede pedidas pela concessionaria</t>
        </is>
      </c>
      <c r="M25" s="82" t="inlineStr">
        <is>
          <t>exigir por escrito</t>
        </is>
      </c>
      <c r="N25" s="82" t="inlineStr">
        <is>
          <t>exigir por escrito</t>
        </is>
      </c>
      <c r="O25" s="82" t="inlineStr"/>
      <c r="P25" s="79" t="inlineStr">
        <is>
          <t>ALERTA: Sun Coast, Sfero e AD BioSolar excluem por escrito a adequacao do padrao. E honesto declarar, mas o custo e seu. Quem nao declarou exclusao tambem nao incluiu - so nao avisou.</t>
        </is>
      </c>
    </row>
    <row r="26">
      <c r="B26" s="81" t="inlineStr">
        <is>
          <t>Condicao de pagamento declarada</t>
        </is>
      </c>
      <c r="C26" s="82" t="inlineStr">
        <is>
          <t>PIX (cotacao de material)</t>
        </is>
      </c>
      <c r="D26" s="82" t="inlineStr">
        <is>
          <t>PIX (cotacao de material)</t>
        </is>
      </c>
      <c r="E26" s="82" t="inlineStr">
        <is>
          <t>a vista ou 21x COM juros</t>
        </is>
      </c>
      <c r="F26" s="82" t="inlineStr">
        <is>
          <t>a vista ou 21x COM juros</t>
        </is>
      </c>
      <c r="G26" s="82" t="inlineStr">
        <is>
          <t>PIX no kit; restante nao informado</t>
        </is>
      </c>
      <c r="H26" s="82" t="inlineStr">
        <is>
          <t>a vista, cartao 12x/21x COM juros ou financiamento 36x</t>
        </is>
      </c>
      <c r="I26" s="82" t="inlineStr">
        <is>
          <t>18x de R$ 932,25 SEM JUROS (= preco a vista)</t>
        </is>
      </c>
      <c r="J26" s="82" t="inlineStr">
        <is>
          <t>3x: 60% entrada / 20% montado / 20% ligado; ou Santander 60x R$ 553 ou 72x R$ 507</t>
        </is>
      </c>
      <c r="K26" s="82" t="inlineStr">
        <is>
          <t>a vista, cartao 12x/21x COM juros ou financiamento 36x ate 120x</t>
        </is>
      </c>
      <c r="L26" s="82" t="inlineStr">
        <is>
          <t>R$ 16.200 NEGOCIADO (o PDF traz R$ 21.289 - EXIGIR O DESCONTO POR ESCRITO)</t>
        </is>
      </c>
      <c r="M26" s="82" t="inlineStr">
        <is>
          <t>pedir preco e parcelamento para esta configuracao</t>
        </is>
      </c>
      <c r="N26" s="82" t="inlineStr">
        <is>
          <t>pedir preco e parcelamento para esta configuracao</t>
        </is>
      </c>
      <c r="O26" s="82" t="inlineStr"/>
      <c r="P26" s="80" t="inlineStr">
        <is>
          <t>ATENCAO: 18x SEM JUROS pelo valor a vista (SunWash micro) e vantagem real. Ja o financiamento Sfero em 72x custa cerca de R$ 17,8 mil de juros sobre R$ 18,7 mil - quase dobra o preco.</t>
        </is>
      </c>
    </row>
    <row r="28">
      <c r="B28" s="7" t="inlineStr">
        <is>
          <t>PRECOS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B29" s="81" t="inlineStr">
        <is>
          <t>Preco BASE informado (R$)</t>
        </is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16780.48</v>
      </c>
      <c r="J29" s="91" t="n">
        <v>18733</v>
      </c>
      <c r="K29" s="91" t="n">
        <v>16890</v>
      </c>
      <c r="L29" s="91" t="n">
        <v>16200</v>
      </c>
      <c r="M29" s="92">
        <f>I29+2*ENTRADAS!$C$54</f>
        <v/>
      </c>
      <c r="N29" s="92">
        <f>I29+4*ENTRADAS!$C$54</f>
        <v/>
      </c>
      <c r="O29" s="92" t="inlineStr"/>
      <c r="P29" s="80" t="inlineStr">
        <is>
          <t>A, B e E: valor do KIT/material. As demais: projeto completo, ja com instalacao. ALERTA na coluna J: o PDF da AD BioSolar traz R$ 21.289,00 e o valor de R$ 16.200,00 foi negociado verbalmente - um desconto de R$ 5.089 (24%) que PRECISA constar em proposta assinada, senao pode evaporar na hora de fechar.</t>
        </is>
      </c>
    </row>
    <row r="30">
      <c r="B30" s="81" t="inlineStr">
        <is>
          <t>Acrescimo regional a confirmar (R$)</t>
        </is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0</v>
      </c>
      <c r="J30" s="91" t="n">
        <v>0</v>
      </c>
      <c r="K30" s="91" t="n">
        <v>0</v>
      </c>
      <c r="L30" s="91" t="n">
        <v>0</v>
      </c>
      <c r="M30" s="91" t="n">
        <v>0</v>
      </c>
      <c r="N30" s="91" t="n">
        <v>0</v>
      </c>
      <c r="O30" s="92" t="inlineStr"/>
      <c r="P30" s="79" t="inlineStr">
        <is>
          <t>ALERTA: a SunWash citou +R$ 1.800 pela sua regiao no kit Intelbras e nao repetiu nos demais. Mantido por PRUDENCIA. Se nao incidir, zere e o payback melhora.</t>
        </is>
      </c>
    </row>
    <row r="31">
      <c r="B31" s="81" t="inlineStr">
        <is>
          <t>Homologacao / engenharia / ART (R$)</t>
        </is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790</v>
      </c>
      <c r="J31" s="91" t="n">
        <v>0</v>
      </c>
      <c r="K31" s="91" t="n">
        <v>0</v>
      </c>
      <c r="L31" s="91" t="n">
        <v>0</v>
      </c>
      <c r="M31" s="91" t="n">
        <v>790</v>
      </c>
      <c r="N31" s="91" t="n">
        <v>790</v>
      </c>
      <c r="O31" s="92" t="inlineStr"/>
      <c r="P31" s="80" t="inlineStr">
        <is>
          <t>E: R$ 790 declarado pelo William. A e B: mesmo valor como ESTIMATIVA - a TecSolarSP nunca informou o preco de venda.</t>
        </is>
      </c>
    </row>
    <row r="32">
      <c r="B32" s="81" t="inlineStr">
        <is>
          <t>Instalacao / mao de obra (R$)</t>
        </is>
      </c>
      <c r="C32" s="92">
        <f>6900/10*C11</f>
        <v/>
      </c>
      <c r="D32" s="92">
        <f>6900/10*D11</f>
        <v/>
      </c>
      <c r="E32" s="91" t="n">
        <v>0</v>
      </c>
      <c r="F32" s="91" t="n">
        <v>0</v>
      </c>
      <c r="G32" s="91" t="n">
        <v>6900</v>
      </c>
      <c r="H32" s="91" t="n">
        <v>0</v>
      </c>
      <c r="I32" s="92">
        <f>6900/10*11</f>
        <v/>
      </c>
      <c r="J32" s="91" t="n">
        <v>0</v>
      </c>
      <c r="K32" s="91" t="n">
        <v>0</v>
      </c>
      <c r="L32" s="91" t="n">
        <v>0</v>
      </c>
      <c r="M32" s="92">
        <f>6900/10*11</f>
        <v/>
      </c>
      <c r="N32" s="92">
        <f>6900/10*11</f>
        <v/>
      </c>
      <c r="O32" s="92" t="inlineStr"/>
      <c r="P32" s="79" t="inlineStr">
        <is>
          <t>ALERTA: E = R$ 6.900 declarado pelo William para 10 modulos. A e B usam esse valor escalado por modulo, como ESTIMATIVA.</t>
        </is>
      </c>
    </row>
    <row r="33">
      <c r="B33" s="81" t="inlineStr">
        <is>
          <t>Adequacao do padrao mono -&gt; bifasico (R$)</t>
        </is>
      </c>
      <c r="C33" s="92">
        <f>ENTRADAS!$C$28</f>
        <v/>
      </c>
      <c r="D33" s="92">
        <f>ENTRADAS!$C$28</f>
        <v/>
      </c>
      <c r="E33" s="92">
        <f>ENTRADAS!$C$28</f>
        <v/>
      </c>
      <c r="F33" s="92">
        <f>ENTRADAS!$C$28</f>
        <v/>
      </c>
      <c r="G33" s="92">
        <f>ENTRADAS!$C$28</f>
        <v/>
      </c>
      <c r="H33" s="92">
        <f>ENTRADAS!$C$28</f>
        <v/>
      </c>
      <c r="I33" s="92">
        <f>ENTRADAS!$C$28</f>
        <v/>
      </c>
      <c r="J33" s="92">
        <f>ENTRADAS!$C$28</f>
        <v/>
      </c>
      <c r="K33" s="92">
        <f>ENTRADAS!$C$28</f>
        <v/>
      </c>
      <c r="L33" s="92">
        <f>ENTRADAS!$C$28</f>
        <v/>
      </c>
      <c r="M33" s="92">
        <f>ENTRADAS!$C$28</f>
        <v/>
      </c>
      <c r="N33" s="92">
        <f>ENTRADAS!$C$28</f>
        <v/>
      </c>
      <c r="O33" s="92" t="inlineStr"/>
      <c r="P33" s="79" t="inlineStr">
        <is>
          <t>ALERTA: nenhum orcamento comprova a inclusao. A proposta do Yuri lista 'PADRAO DE ENTRADA' na pagina 5, mas a pagina 8 atribui a adequacao ao cliente E o pedido Route 66 nao traz nenhum material de padrao. Voltou a ser somado a todos.</t>
        </is>
      </c>
    </row>
    <row r="34">
      <c r="B34" s="76" t="inlineStr">
        <is>
          <t>PRECO TOTAL INSTALADO (R$)</t>
        </is>
      </c>
      <c r="C34" s="93">
        <f>SUM(C29:C33)</f>
        <v/>
      </c>
      <c r="D34" s="93">
        <f>SUM(D29:D33)</f>
        <v/>
      </c>
      <c r="E34" s="93">
        <f>SUM(E29:E33)</f>
        <v/>
      </c>
      <c r="F34" s="93">
        <f>SUM(F29:F33)</f>
        <v/>
      </c>
      <c r="G34" s="93">
        <f>SUM(G29:G33)</f>
        <v/>
      </c>
      <c r="H34" s="93">
        <f>SUM(H29:H33)</f>
        <v/>
      </c>
      <c r="I34" s="93">
        <f>SUM(I29:I33)</f>
        <v/>
      </c>
      <c r="J34" s="93">
        <f>SUM(J29:J33)</f>
        <v/>
      </c>
      <c r="K34" s="93">
        <f>SUM(K29:K33)</f>
        <v/>
      </c>
      <c r="L34" s="93">
        <f>SUM(L29:L33)</f>
        <v/>
      </c>
      <c r="M34" s="93">
        <f>SUM(M29:M33)</f>
        <v/>
      </c>
      <c r="N34" s="93">
        <f>SUM(N29:N33)</f>
        <v/>
      </c>
      <c r="O34" s="93" t="inlineStr"/>
      <c r="P34" s="80" t="inlineStr">
        <is>
          <t>O UNICO numero comparavel entre fornecedores.</t>
        </is>
      </c>
    </row>
    <row r="35">
      <c r="B35" s="76" t="inlineStr">
        <is>
          <t>R$ por Wp instalado</t>
        </is>
      </c>
      <c r="C35" s="94">
        <f>IFERROR(C34/(C14*1000),0)</f>
        <v/>
      </c>
      <c r="D35" s="94">
        <f>IFERROR(D34/(D14*1000),0)</f>
        <v/>
      </c>
      <c r="E35" s="94">
        <f>IFERROR(E34/(E14*1000),0)</f>
        <v/>
      </c>
      <c r="F35" s="94">
        <f>IFERROR(F34/(F14*1000),0)</f>
        <v/>
      </c>
      <c r="G35" s="94">
        <f>IFERROR(G34/(G14*1000),0)</f>
        <v/>
      </c>
      <c r="H35" s="94">
        <f>IFERROR(H34/(H14*1000),0)</f>
        <v/>
      </c>
      <c r="I35" s="94">
        <f>IFERROR(I34/(I14*1000),0)</f>
        <v/>
      </c>
      <c r="J35" s="94">
        <f>IFERROR(J34/(J14*1000),0)</f>
        <v/>
      </c>
      <c r="K35" s="94">
        <f>IFERROR(K34/(K14*1000),0)</f>
        <v/>
      </c>
      <c r="L35" s="94">
        <f>IFERROR(L34/(L14*1000),0)</f>
        <v/>
      </c>
      <c r="M35" s="94">
        <f>IFERROR(M34/(M14*1000),0)</f>
        <v/>
      </c>
      <c r="N35" s="94">
        <f>IFERROR(N34/(N14*1000),0)</f>
        <v/>
      </c>
      <c r="O35" s="94" t="inlineStr"/>
      <c r="P35" s="80" t="inlineStr">
        <is>
          <t>Metrica de mercado, valida so entre precos de mesmo escopo.</t>
        </is>
      </c>
    </row>
    <row r="36">
      <c r="B36" s="81" t="inlineStr">
        <is>
          <t>R$ por Wp somente de material</t>
        </is>
      </c>
      <c r="C36" s="95">
        <f>IFERROR(C29/(C14*1000),0)</f>
        <v/>
      </c>
      <c r="D36" s="95">
        <f>IFERROR(D29/(D14*1000),0)</f>
        <v/>
      </c>
      <c r="E36" s="95" t="inlineStr">
        <is>
          <t>n/d</t>
        </is>
      </c>
      <c r="F36" s="95" t="inlineStr">
        <is>
          <t>n/d</t>
        </is>
      </c>
      <c r="G36" s="95">
        <f>IFERROR(G29/(G14*1000),0)</f>
        <v/>
      </c>
      <c r="H36" s="95" t="inlineStr">
        <is>
          <t>n/d</t>
        </is>
      </c>
      <c r="I36" s="95">
        <f>IFERROR(I29/(I14*1000),0)</f>
        <v/>
      </c>
      <c r="J36" s="95" t="inlineStr">
        <is>
          <t>n/d</t>
        </is>
      </c>
      <c r="K36" s="95" t="inlineStr">
        <is>
          <t>n/d</t>
        </is>
      </c>
      <c r="L36" s="95" t="inlineStr">
        <is>
          <t>n/d</t>
        </is>
      </c>
      <c r="M36" s="95">
        <f>IFERROR(M29/(M14*1000),0)</f>
        <v/>
      </c>
      <c r="N36" s="95">
        <f>IFERROR(N29/(N14*1000),0)</f>
        <v/>
      </c>
      <c r="O36" s="95" t="inlineStr"/>
      <c r="P36" s="80" t="inlineStr">
        <is>
          <t>Mede a margem. A TecSolarSP paga R$ 2,47/Wp de material: use isso para negociar o preco de venda dela.</t>
        </is>
      </c>
    </row>
    <row r="38">
      <c r="B38" s="7" t="inlineStr">
        <is>
          <t>GERACAO - REALIDADE x PROMESSA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B39" s="81" t="inlineStr">
        <is>
          <t>Geracao anual realista - telhado SE (kWh)</t>
        </is>
      </c>
      <c r="C39" s="85">
        <f>C14*GERACAO!$I$17</f>
        <v/>
      </c>
      <c r="D39" s="85">
        <f>D14*GERACAO!$I$17</f>
        <v/>
      </c>
      <c r="E39" s="85">
        <f>E14*GERACAO!$I$17</f>
        <v/>
      </c>
      <c r="F39" s="85">
        <f>F14*GERACAO!$I$17</f>
        <v/>
      </c>
      <c r="G39" s="85">
        <f>G14*GERACAO!$I$17</f>
        <v/>
      </c>
      <c r="H39" s="85">
        <f>H14*GERACAO!$I$17</f>
        <v/>
      </c>
      <c r="I39" s="85">
        <f>I14*GERACAO!$I$17</f>
        <v/>
      </c>
      <c r="J39" s="85">
        <f>J14*GERACAO!$I$17</f>
        <v/>
      </c>
      <c r="K39" s="85">
        <f>K14*GERACAO!$I$17</f>
        <v/>
      </c>
      <c r="L39" s="85">
        <f>L14*GERACAO!$I$17</f>
        <v/>
      </c>
      <c r="M39" s="85">
        <f>M14*GERACAO!$I$17</f>
        <v/>
      </c>
      <c r="N39" s="85">
        <f>N14*GERACAO!$I$17</f>
        <v/>
      </c>
      <c r="O39" s="85" t="inlineStr"/>
      <c r="P39" s="80" t="inlineStr">
        <is>
          <t>Irradiacao de Sao Paulo, telhado Sudeste 20 graus, PR de 79%.</t>
        </is>
      </c>
    </row>
    <row r="40">
      <c r="B40" s="81" t="inlineStr">
        <is>
          <t>Geracao media mensal realista (kWh/mes)</t>
        </is>
      </c>
      <c r="C40" s="85">
        <f>C39/12</f>
        <v/>
      </c>
      <c r="D40" s="85">
        <f>D39/12</f>
        <v/>
      </c>
      <c r="E40" s="85">
        <f>E39/12</f>
        <v/>
      </c>
      <c r="F40" s="85">
        <f>F39/12</f>
        <v/>
      </c>
      <c r="G40" s="85">
        <f>G39/12</f>
        <v/>
      </c>
      <c r="H40" s="85">
        <f>H39/12</f>
        <v/>
      </c>
      <c r="I40" s="85">
        <f>I39/12</f>
        <v/>
      </c>
      <c r="J40" s="85">
        <f>J39/12</f>
        <v/>
      </c>
      <c r="K40" s="85">
        <f>K39/12</f>
        <v/>
      </c>
      <c r="L40" s="85">
        <f>L39/12</f>
        <v/>
      </c>
      <c r="M40" s="85">
        <f>M39/12</f>
        <v/>
      </c>
      <c r="N40" s="85">
        <f>N39/12</f>
        <v/>
      </c>
      <c r="O40" s="85" t="inlineStr"/>
      <c r="P40" s="80" t="inlineStr"/>
    </row>
    <row r="41">
      <c r="B41" s="81" t="inlineStr">
        <is>
          <t>Geracao no cenario CONSERVADOR (PR 72%)</t>
        </is>
      </c>
      <c r="C41" s="85">
        <f>C39/ENTRADAS!$C$31*ENTRADAS!$C$32</f>
        <v/>
      </c>
      <c r="D41" s="85">
        <f>D39/ENTRADAS!$C$31*ENTRADAS!$C$32</f>
        <v/>
      </c>
      <c r="E41" s="85">
        <f>E39/ENTRADAS!$C$31*ENTRADAS!$C$32</f>
        <v/>
      </c>
      <c r="F41" s="85">
        <f>F39/ENTRADAS!$C$31*ENTRADAS!$C$32</f>
        <v/>
      </c>
      <c r="G41" s="85">
        <f>G39/ENTRADAS!$C$31*ENTRADAS!$C$32</f>
        <v/>
      </c>
      <c r="H41" s="85">
        <f>H39/ENTRADAS!$C$31*ENTRADAS!$C$32</f>
        <v/>
      </c>
      <c r="I41" s="85">
        <f>I39/ENTRADAS!$C$31*ENTRADAS!$C$32</f>
        <v/>
      </c>
      <c r="J41" s="85">
        <f>J39/ENTRADAS!$C$31*ENTRADAS!$C$32</f>
        <v/>
      </c>
      <c r="K41" s="85">
        <f>K39/ENTRADAS!$C$31*ENTRADAS!$C$32</f>
        <v/>
      </c>
      <c r="L41" s="85">
        <f>L39/ENTRADAS!$C$31*ENTRADAS!$C$32</f>
        <v/>
      </c>
      <c r="M41" s="85">
        <f>M39/ENTRADAS!$C$31*ENTRADAS!$C$32</f>
        <v/>
      </c>
      <c r="N41" s="85">
        <f>N39/ENTRADAS!$C$31*ENTRADAS!$C$32</f>
        <v/>
      </c>
      <c r="O41" s="85" t="inlineStr"/>
      <c r="P41" s="80" t="inlineStr">
        <is>
          <t>Pior caso: telhado mais sujo, mais quente ou com sombra parcial.</t>
        </is>
      </c>
    </row>
    <row r="42">
      <c r="B42" s="81" t="inlineStr">
        <is>
          <t>Geracao PROMETIDA pelo vendedor (kWh/ano)</t>
        </is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9279.129999999999</v>
      </c>
      <c r="L42" s="84" t="n">
        <v>7981.26</v>
      </c>
      <c r="M42" s="84" t="n">
        <v>0</v>
      </c>
      <c r="N42" s="84" t="n">
        <v>0</v>
      </c>
      <c r="O42" s="85" t="inlineStr"/>
      <c r="P42" s="80" t="inlineStr">
        <is>
          <t>A: 10.554. C, D e G: 700 kWh/mes x 12. E: 6.151. F: 6.367,50. H: 7.329,96. I: 9.279,13. J: 7.981,26. B: nao informada.</t>
        </is>
      </c>
    </row>
    <row r="43">
      <c r="B43" s="76" t="inlineStr">
        <is>
          <t>DESVIO DA PROMESSA</t>
        </is>
      </c>
      <c r="C43" s="96">
        <f>IFERROR(C39/C42-1,0)</f>
        <v/>
      </c>
      <c r="D43" s="96">
        <f>IFERROR(D39/D42-1,0)</f>
        <v/>
      </c>
      <c r="E43" s="96">
        <f>IFERROR(E39/E42-1,0)</f>
        <v/>
      </c>
      <c r="F43" s="96">
        <f>IFERROR(F39/F42-1,0)</f>
        <v/>
      </c>
      <c r="G43" s="96">
        <f>IFERROR(G39/G42-1,0)</f>
        <v/>
      </c>
      <c r="H43" s="96">
        <f>IFERROR(H39/H42-1,0)</f>
        <v/>
      </c>
      <c r="I43" s="96">
        <f>IFERROR(I39/I42-1,0)</f>
        <v/>
      </c>
      <c r="J43" s="96">
        <f>IFERROR(J39/J42-1,0)</f>
        <v/>
      </c>
      <c r="K43" s="96">
        <f>IFERROR(K39/K42-1,0)</f>
        <v/>
      </c>
      <c r="L43" s="96">
        <f>IFERROR(L39/L42-1,0)</f>
        <v/>
      </c>
      <c r="M43" s="96">
        <f>IFERROR(M39/M42-1,0)</f>
        <v/>
      </c>
      <c r="N43" s="96">
        <f>IFERROR(N39/N42-1,0)</f>
        <v/>
      </c>
      <c r="O43" s="96" t="inlineStr"/>
      <c r="P43" s="79" t="inlineStr">
        <is>
          <t>ALERTA: negativo = o vendedor promete mais do que o telhado entrega. Positivo = foi conservador. Sfero e a unica positiva.</t>
        </is>
      </c>
    </row>
    <row r="44">
      <c r="B44" s="81" t="inlineStr">
        <is>
          <t>Geracao se o telhado fosse NORTE (kWh)</t>
        </is>
      </c>
      <c r="C44" s="85">
        <f>C14*GERACAO!$J$17</f>
        <v/>
      </c>
      <c r="D44" s="85">
        <f>D14*GERACAO!$J$17</f>
        <v/>
      </c>
      <c r="E44" s="85">
        <f>E14*GERACAO!$J$17</f>
        <v/>
      </c>
      <c r="F44" s="85">
        <f>F14*GERACAO!$J$17</f>
        <v/>
      </c>
      <c r="G44" s="85">
        <f>G14*GERACAO!$J$17</f>
        <v/>
      </c>
      <c r="H44" s="85">
        <f>H14*GERACAO!$J$17</f>
        <v/>
      </c>
      <c r="I44" s="85">
        <f>I14*GERACAO!$J$17</f>
        <v/>
      </c>
      <c r="J44" s="85">
        <f>J14*GERACAO!$J$17</f>
        <v/>
      </c>
      <c r="K44" s="85">
        <f>K14*GERACAO!$J$17</f>
        <v/>
      </c>
      <c r="L44" s="85">
        <f>L14*GERACAO!$J$17</f>
        <v/>
      </c>
      <c r="M44" s="85">
        <f>M14*GERACAO!$J$17</f>
        <v/>
      </c>
      <c r="N44" s="85">
        <f>N14*GERACAO!$J$17</f>
        <v/>
      </c>
      <c r="O44" s="85" t="inlineStr"/>
      <c r="P44" s="80" t="inlineStr">
        <is>
          <t>Compare com a linha da promessa: e daqui que saem os numeros otimistas.</t>
        </is>
      </c>
    </row>
    <row r="46">
      <c r="B46" s="7" t="inlineStr">
        <is>
          <t>ATENDIMENTO DO CONSUMO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B47" s="81" t="inlineStr">
        <is>
          <t>% atendido SEM o BYD (Cenario 1)</t>
        </is>
      </c>
      <c r="C47" s="97">
        <f>IFERROR(C39/(BYD!$F$33*12),0)</f>
        <v/>
      </c>
      <c r="D47" s="97">
        <f>IFERROR(D39/(BYD!$F$33*12),0)</f>
        <v/>
      </c>
      <c r="E47" s="97">
        <f>IFERROR(E39/(BYD!$F$33*12),0)</f>
        <v/>
      </c>
      <c r="F47" s="97">
        <f>IFERROR(F39/(BYD!$F$33*12),0)</f>
        <v/>
      </c>
      <c r="G47" s="97">
        <f>IFERROR(G39/(BYD!$F$33*12),0)</f>
        <v/>
      </c>
      <c r="H47" s="97">
        <f>IFERROR(H39/(BYD!$F$33*12),0)</f>
        <v/>
      </c>
      <c r="I47" s="97">
        <f>IFERROR(I39/(BYD!$F$33*12),0)</f>
        <v/>
      </c>
      <c r="J47" s="97">
        <f>IFERROR(J39/(BYD!$F$33*12),0)</f>
        <v/>
      </c>
      <c r="K47" s="97">
        <f>IFERROR(K39/(BYD!$F$33*12),0)</f>
        <v/>
      </c>
      <c r="L47" s="97">
        <f>IFERROR(L39/(BYD!$F$33*12),0)</f>
        <v/>
      </c>
      <c r="M47" s="97">
        <f>IFERROR(M39/(BYD!$F$33*12),0)</f>
        <v/>
      </c>
      <c r="N47" s="97">
        <f>IFERROR(N39/(BYD!$F$33*12),0)</f>
        <v/>
      </c>
      <c r="O47" s="97" t="inlineStr"/>
      <c r="P47" s="80" t="inlineStr">
        <is>
          <t>Todos parecem otimos aqui - e por isso que os vendedores acham que acertaram o tamanho.</t>
        </is>
      </c>
    </row>
    <row r="48">
      <c r="B48" s="81" t="inlineStr">
        <is>
          <t>% atendido COM o BYD (Cenario 2)</t>
        </is>
      </c>
      <c r="C48" s="97">
        <f>IFERROR(C39/(BYD!$F$34*12),0)</f>
        <v/>
      </c>
      <c r="D48" s="97">
        <f>IFERROR(D39/(BYD!$F$34*12),0)</f>
        <v/>
      </c>
      <c r="E48" s="97">
        <f>IFERROR(E39/(BYD!$F$34*12),0)</f>
        <v/>
      </c>
      <c r="F48" s="97">
        <f>IFERROR(F39/(BYD!$F$34*12),0)</f>
        <v/>
      </c>
      <c r="G48" s="97">
        <f>IFERROR(G39/(BYD!$F$34*12),0)</f>
        <v/>
      </c>
      <c r="H48" s="97">
        <f>IFERROR(H39/(BYD!$F$34*12),0)</f>
        <v/>
      </c>
      <c r="I48" s="97">
        <f>IFERROR(I39/(BYD!$F$34*12),0)</f>
        <v/>
      </c>
      <c r="J48" s="97">
        <f>IFERROR(J39/(BYD!$F$34*12),0)</f>
        <v/>
      </c>
      <c r="K48" s="97">
        <f>IFERROR(K39/(BYD!$F$34*12),0)</f>
        <v/>
      </c>
      <c r="L48" s="97">
        <f>IFERROR(L39/(BYD!$F$34*12),0)</f>
        <v/>
      </c>
      <c r="M48" s="97">
        <f>IFERROR(M39/(BYD!$F$34*12),0)</f>
        <v/>
      </c>
      <c r="N48" s="97">
        <f>IFERROR(N39/(BYD!$F$34*12),0)</f>
        <v/>
      </c>
      <c r="O48" s="97" t="inlineStr"/>
      <c r="P48" s="80" t="inlineStr"/>
    </row>
    <row r="49">
      <c r="B49" s="76" t="inlineStr">
        <is>
          <t>% atendido no CENARIO 3</t>
        </is>
      </c>
      <c r="C49" s="98">
        <f>IFERROR(C39/(BYD!$F$35*12),0)</f>
        <v/>
      </c>
      <c r="D49" s="98">
        <f>IFERROR(D39/(BYD!$F$35*12),0)</f>
        <v/>
      </c>
      <c r="E49" s="98">
        <f>IFERROR(E39/(BYD!$F$35*12),0)</f>
        <v/>
      </c>
      <c r="F49" s="98">
        <f>IFERROR(F39/(BYD!$F$35*12),0)</f>
        <v/>
      </c>
      <c r="G49" s="98">
        <f>IFERROR(G39/(BYD!$F$35*12),0)</f>
        <v/>
      </c>
      <c r="H49" s="98">
        <f>IFERROR(H39/(BYD!$F$35*12),0)</f>
        <v/>
      </c>
      <c r="I49" s="98">
        <f>IFERROR(I39/(BYD!$F$35*12),0)</f>
        <v/>
      </c>
      <c r="J49" s="98">
        <f>IFERROR(J39/(BYD!$F$35*12),0)</f>
        <v/>
      </c>
      <c r="K49" s="98">
        <f>IFERROR(K39/(BYD!$F$35*12),0)</f>
        <v/>
      </c>
      <c r="L49" s="98">
        <f>IFERROR(L39/(BYD!$F$35*12),0)</f>
        <v/>
      </c>
      <c r="M49" s="98">
        <f>IFERROR(M39/(BYD!$F$35*12),0)</f>
        <v/>
      </c>
      <c r="N49" s="98">
        <f>IFERROR(N39/(BYD!$F$35*12),0)</f>
        <v/>
      </c>
      <c r="O49" s="98" t="inlineStr"/>
      <c r="P49" s="80" t="inlineStr">
        <is>
          <t>ESTE e o criterio de dimensionamento. Alvo: 95% a 110%. Abaixo de 90% = subdimensionado.</t>
        </is>
      </c>
    </row>
    <row r="50">
      <c r="B50" s="81" t="inlineStr">
        <is>
          <t>Deficit / excedente anual (kWh)</t>
        </is>
      </c>
      <c r="C50" s="85">
        <f>C39-BYD!$G$35</f>
        <v/>
      </c>
      <c r="D50" s="85">
        <f>D39-BYD!$G$35</f>
        <v/>
      </c>
      <c r="E50" s="85">
        <f>E39-BYD!$G$35</f>
        <v/>
      </c>
      <c r="F50" s="85">
        <f>F39-BYD!$G$35</f>
        <v/>
      </c>
      <c r="G50" s="85">
        <f>G39-BYD!$G$35</f>
        <v/>
      </c>
      <c r="H50" s="85">
        <f>H39-BYD!$G$35</f>
        <v/>
      </c>
      <c r="I50" s="85">
        <f>I39-BYD!$G$35</f>
        <v/>
      </c>
      <c r="J50" s="85">
        <f>J39-BYD!$G$35</f>
        <v/>
      </c>
      <c r="K50" s="85">
        <f>K39-BYD!$G$35</f>
        <v/>
      </c>
      <c r="L50" s="85">
        <f>L39-BYD!$G$35</f>
        <v/>
      </c>
      <c r="M50" s="85">
        <f>M39-BYD!$G$35</f>
        <v/>
      </c>
      <c r="N50" s="85">
        <f>N39-BYD!$G$35</f>
        <v/>
      </c>
      <c r="O50" s="85" t="inlineStr"/>
      <c r="P50" s="80" t="inlineStr">
        <is>
          <t>Negativo = continua comprando energia todo mes. Muito positivo = credito que expira em 60 meses.</t>
        </is>
      </c>
    </row>
    <row r="51">
      <c r="B51" s="76" t="inlineStr">
        <is>
          <t>Modulos que faltam para o Cenario 3</t>
        </is>
      </c>
      <c r="C51" s="99">
        <f>IFERROR(ROUNDUP(MAX(0,BYD!$G$35-C39)/GERACAO!$I$17*1000/C12,0),0)</f>
        <v/>
      </c>
      <c r="D51" s="99">
        <f>IFERROR(ROUNDUP(MAX(0,BYD!$G$35-D39)/GERACAO!$I$17*1000/D12,0),0)</f>
        <v/>
      </c>
      <c r="E51" s="99">
        <f>IFERROR(ROUNDUP(MAX(0,BYD!$G$35-E39)/GERACAO!$I$17*1000/E12,0),0)</f>
        <v/>
      </c>
      <c r="F51" s="99">
        <f>IFERROR(ROUNDUP(MAX(0,BYD!$G$35-F39)/GERACAO!$I$17*1000/F12,0),0)</f>
        <v/>
      </c>
      <c r="G51" s="99">
        <f>IFERROR(ROUNDUP(MAX(0,BYD!$G$35-G39)/GERACAO!$I$17*1000/G12,0),0)</f>
        <v/>
      </c>
      <c r="H51" s="99">
        <f>IFERROR(ROUNDUP(MAX(0,BYD!$G$35-H39)/GERACAO!$I$17*1000/H12,0),0)</f>
        <v/>
      </c>
      <c r="I51" s="99">
        <f>IFERROR(ROUNDUP(MAX(0,BYD!$G$35-I39)/GERACAO!$I$17*1000/I12,0),0)</f>
        <v/>
      </c>
      <c r="J51" s="99">
        <f>IFERROR(ROUNDUP(MAX(0,BYD!$G$35-J39)/GERACAO!$I$17*1000/J12,0),0)</f>
        <v/>
      </c>
      <c r="K51" s="99">
        <f>IFERROR(ROUNDUP(MAX(0,BYD!$G$35-K39)/GERACAO!$I$17*1000/K12,0),0)</f>
        <v/>
      </c>
      <c r="L51" s="99">
        <f>IFERROR(ROUNDUP(MAX(0,BYD!$G$35-L39)/GERACAO!$I$17*1000/L12,0),0)</f>
        <v/>
      </c>
      <c r="M51" s="99">
        <f>IFERROR(ROUNDUP(MAX(0,BYD!$G$35-M39)/GERACAO!$I$17*1000/M12,0),0)</f>
        <v/>
      </c>
      <c r="N51" s="99">
        <f>IFERROR(ROUNDUP(MAX(0,BYD!$G$35-N39)/GERACAO!$I$17*1000/N12,0),0)</f>
        <v/>
      </c>
      <c r="O51" s="99" t="inlineStr"/>
      <c r="P51" s="80" t="inlineStr"/>
    </row>
    <row r="52">
      <c r="B52" s="76" t="inlineStr">
        <is>
          <t>Modulos atribuiveis SO ao BYD</t>
        </is>
      </c>
      <c r="C52" s="100">
        <f>IFERROR(ROUNDUP(BYD!$C$13*12/GERACAO!$I$17*1000/C12,0),0)</f>
        <v/>
      </c>
      <c r="D52" s="100">
        <f>IFERROR(ROUNDUP(BYD!$C$13*12/GERACAO!$I$17*1000/D12,0),0)</f>
        <v/>
      </c>
      <c r="E52" s="100">
        <f>IFERROR(ROUNDUP(BYD!$C$13*12/GERACAO!$I$17*1000/E12,0),0)</f>
        <v/>
      </c>
      <c r="F52" s="100">
        <f>IFERROR(ROUNDUP(BYD!$C$13*12/GERACAO!$I$17*1000/F12,0),0)</f>
        <v/>
      </c>
      <c r="G52" s="100">
        <f>IFERROR(ROUNDUP(BYD!$C$13*12/GERACAO!$I$17*1000/G12,0),0)</f>
        <v/>
      </c>
      <c r="H52" s="100">
        <f>IFERROR(ROUNDUP(BYD!$C$13*12/GERACAO!$I$17*1000/H12,0),0)</f>
        <v/>
      </c>
      <c r="I52" s="100">
        <f>IFERROR(ROUNDUP(BYD!$C$13*12/GERACAO!$I$17*1000/I12,0),0)</f>
        <v/>
      </c>
      <c r="J52" s="100">
        <f>IFERROR(ROUNDUP(BYD!$C$13*12/GERACAO!$I$17*1000/J12,0),0)</f>
        <v/>
      </c>
      <c r="K52" s="100">
        <f>IFERROR(ROUNDUP(BYD!$C$13*12/GERACAO!$I$17*1000/K12,0),0)</f>
        <v/>
      </c>
      <c r="L52" s="100">
        <f>IFERROR(ROUNDUP(BYD!$C$13*12/GERACAO!$I$17*1000/L12,0),0)</f>
        <v/>
      </c>
      <c r="M52" s="100">
        <f>IFERROR(ROUNDUP(BYD!$C$13*12/GERACAO!$I$17*1000/M12,0),0)</f>
        <v/>
      </c>
      <c r="N52" s="100">
        <f>IFERROR(ROUNDUP(BYD!$C$13*12/GERACAO!$I$17*1000/N12,0),0)</f>
        <v/>
      </c>
      <c r="O52" s="100" t="inlineStr"/>
      <c r="P52" s="80" t="inlineStr">
        <is>
          <t>Placas que existem no projeto apenas para compensar o carregamento do carro.</t>
        </is>
      </c>
    </row>
    <row r="53">
      <c r="B53" s="81" t="inlineStr">
        <is>
          <t>Potencia AC a declarar na homologacao e corrente em 220 V</t>
        </is>
      </c>
      <c r="C53" s="82">
        <f>C16&amp;" kW = "&amp;TEXT(C16*1000/220,"0")&amp;" A"</f>
        <v/>
      </c>
      <c r="D53" s="82">
        <f>D16&amp;" kW = "&amp;TEXT(D16*1000/220,"0")&amp;" A"</f>
        <v/>
      </c>
      <c r="E53" s="82">
        <f>E16&amp;" kW = "&amp;TEXT(E16*1000/220,"0")&amp;" A"</f>
        <v/>
      </c>
      <c r="F53" s="82">
        <f>F16&amp;" kW = "&amp;TEXT(F16*1000/220,"0")&amp;" A"</f>
        <v/>
      </c>
      <c r="G53" s="82">
        <f>G16&amp;" kW = "&amp;TEXT(G16*1000/220,"0")&amp;" A"</f>
        <v/>
      </c>
      <c r="H53" s="82">
        <f>H16&amp;" kW = "&amp;TEXT(H16*1000/220,"0")&amp;" A"</f>
        <v/>
      </c>
      <c r="I53" s="82">
        <f>I16&amp;" kW = "&amp;TEXT(I16*1000/220,"0")&amp;" A"</f>
        <v/>
      </c>
      <c r="J53" s="82">
        <f>J16&amp;" kW = "&amp;TEXT(J16*1000/220,"0")&amp;" A"</f>
        <v/>
      </c>
      <c r="K53" s="82">
        <f>K16&amp;" kW = "&amp;TEXT(K16*1000/220,"0")&amp;" A"</f>
        <v/>
      </c>
      <c r="L53" s="82">
        <f>L16&amp;" kW = "&amp;TEXT(L16*1000/220,"0")&amp;" A"</f>
        <v/>
      </c>
      <c r="M53" s="82">
        <f>M16&amp;" kW = "&amp;TEXT(M16*1000/220,"0")&amp;" A"</f>
        <v/>
      </c>
      <c r="N53" s="82">
        <f>N16&amp;" kW = "&amp;TEXT(N16*1000/220,"0")&amp;" A"</f>
        <v/>
      </c>
      <c r="O53" s="82" t="inlineStr"/>
      <c r="P53" s="79" t="inlineStr">
        <is>
          <t>ALERTA POUCO OBVIO: a potencia declarada a Enel e a do INVERSOR (AC), nao a dos modulos. Quanto maior, maior o disjuntor e o padrao exigidos - e mais caro fica o item de adequacao do padrao.</t>
        </is>
      </c>
    </row>
    <row r="55">
      <c r="B55" s="7" t="inlineStr">
        <is>
          <t>RESULTADO FINANCEIRO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B56" s="81" t="inlineStr">
        <is>
          <t>Conta mensal HOJE (sem solar, sem BYD)</t>
        </is>
      </c>
      <c r="C56" s="92">
        <f>CONTA!$C$54</f>
        <v/>
      </c>
      <c r="D56" s="92">
        <f>CONTA!$C$54</f>
        <v/>
      </c>
      <c r="E56" s="92">
        <f>CONTA!$C$54</f>
        <v/>
      </c>
      <c r="F56" s="92">
        <f>CONTA!$C$54</f>
        <v/>
      </c>
      <c r="G56" s="92">
        <f>CONTA!$C$54</f>
        <v/>
      </c>
      <c r="H56" s="92">
        <f>CONTA!$C$54</f>
        <v/>
      </c>
      <c r="I56" s="92">
        <f>CONTA!$C$54</f>
        <v/>
      </c>
      <c r="J56" s="92">
        <f>CONTA!$C$54</f>
        <v/>
      </c>
      <c r="K56" s="92">
        <f>CONTA!$C$54</f>
        <v/>
      </c>
      <c r="L56" s="92">
        <f>CONTA!$C$54</f>
        <v/>
      </c>
      <c r="M56" s="92">
        <f>CONTA!$C$54</f>
        <v/>
      </c>
      <c r="N56" s="92">
        <f>CONTA!$C$54</f>
        <v/>
      </c>
      <c r="O56" s="92" t="inlineStr"/>
      <c r="P56" s="80" t="inlineStr">
        <is>
          <t>Situacao atual real: R$ 410,63.</t>
        </is>
      </c>
    </row>
    <row r="57">
      <c r="B57" s="81" t="inlineStr">
        <is>
          <t>Conta mensal SEM solar mas COM o BYD</t>
        </is>
      </c>
      <c r="C57" s="92">
        <f>ECONOMIA!C8/12</f>
        <v/>
      </c>
      <c r="D57" s="92">
        <f>ECONOMIA!D8/12</f>
        <v/>
      </c>
      <c r="E57" s="92">
        <f>ECONOMIA!E8/12</f>
        <v/>
      </c>
      <c r="F57" s="92">
        <f>ECONOMIA!F8/12</f>
        <v/>
      </c>
      <c r="G57" s="92">
        <f>ECONOMIA!G8/12</f>
        <v/>
      </c>
      <c r="H57" s="92">
        <f>ECONOMIA!H8/12</f>
        <v/>
      </c>
      <c r="I57" s="92">
        <f>ECONOMIA!I8/12</f>
        <v/>
      </c>
      <c r="J57" s="92">
        <f>ECONOMIA!J8/12</f>
        <v/>
      </c>
      <c r="K57" s="92">
        <f>ECONOMIA!K8/12</f>
        <v/>
      </c>
      <c r="L57" s="92">
        <f>ECONOMIA!L8/12</f>
        <v/>
      </c>
      <c r="M57" s="92">
        <f>ECONOMIA!M8/12</f>
        <v/>
      </c>
      <c r="N57" s="92">
        <f>ECONOMIA!N8/12</f>
        <v/>
      </c>
      <c r="O57" s="92" t="inlineStr"/>
      <c r="P57" s="80" t="inlineStr">
        <is>
          <t>O que a conta vira se o carro chegar e nao houver solar.</t>
        </is>
      </c>
    </row>
    <row r="58">
      <c r="B58" s="76" t="inlineStr">
        <is>
          <t>Conta mensal COM solar e COM o BYD</t>
        </is>
      </c>
      <c r="C58" s="101">
        <f>ECONOMIA!C19</f>
        <v/>
      </c>
      <c r="D58" s="101">
        <f>ECONOMIA!D19</f>
        <v/>
      </c>
      <c r="E58" s="101">
        <f>ECONOMIA!E19</f>
        <v/>
      </c>
      <c r="F58" s="101">
        <f>ECONOMIA!F19</f>
        <v/>
      </c>
      <c r="G58" s="101">
        <f>ECONOMIA!G19</f>
        <v/>
      </c>
      <c r="H58" s="101">
        <f>ECONOMIA!H19</f>
        <v/>
      </c>
      <c r="I58" s="101">
        <f>ECONOMIA!I19</f>
        <v/>
      </c>
      <c r="J58" s="101">
        <f>ECONOMIA!J19</f>
        <v/>
      </c>
      <c r="K58" s="101">
        <f>ECONOMIA!K19</f>
        <v/>
      </c>
      <c r="L58" s="101">
        <f>ECONOMIA!L19</f>
        <v/>
      </c>
      <c r="M58" s="101">
        <f>ECONOMIA!M19</f>
        <v/>
      </c>
      <c r="N58" s="101">
        <f>ECONOMIA!N19</f>
        <v/>
      </c>
      <c r="O58" s="101" t="inlineStr"/>
      <c r="P58" s="79" t="inlineStr">
        <is>
          <t>ALERTA: nao vai a zero. Sobram disponibilidade, Fio B e COSIP.</t>
        </is>
      </c>
    </row>
    <row r="59">
      <c r="B59" s="81" t="inlineStr">
        <is>
          <t>Economia liquida ano 1 (R$/ano)</t>
        </is>
      </c>
      <c r="C59" s="92">
        <f>ECONOMIA!C26</f>
        <v/>
      </c>
      <c r="D59" s="92">
        <f>ECONOMIA!D26</f>
        <v/>
      </c>
      <c r="E59" s="92">
        <f>ECONOMIA!E26</f>
        <v/>
      </c>
      <c r="F59" s="92">
        <f>ECONOMIA!F26</f>
        <v/>
      </c>
      <c r="G59" s="92">
        <f>ECONOMIA!G26</f>
        <v/>
      </c>
      <c r="H59" s="92">
        <f>ECONOMIA!H26</f>
        <v/>
      </c>
      <c r="I59" s="92">
        <f>ECONOMIA!I26</f>
        <v/>
      </c>
      <c r="J59" s="92">
        <f>ECONOMIA!J26</f>
        <v/>
      </c>
      <c r="K59" s="92">
        <f>ECONOMIA!K26</f>
        <v/>
      </c>
      <c r="L59" s="92">
        <f>ECONOMIA!L26</f>
        <v/>
      </c>
      <c r="M59" s="92">
        <f>ECONOMIA!M26</f>
        <v/>
      </c>
      <c r="N59" s="92">
        <f>ECONOMIA!N26</f>
        <v/>
      </c>
      <c r="O59" s="92" t="inlineStr"/>
      <c r="P59" s="80" t="inlineStr"/>
    </row>
    <row r="60">
      <c r="B60" s="76" t="inlineStr">
        <is>
          <t>Economia liquida ano 1 (R$/mes)</t>
        </is>
      </c>
      <c r="C60" s="101">
        <f>C59/12</f>
        <v/>
      </c>
      <c r="D60" s="101">
        <f>D59/12</f>
        <v/>
      </c>
      <c r="E60" s="101">
        <f>E59/12</f>
        <v/>
      </c>
      <c r="F60" s="101">
        <f>F59/12</f>
        <v/>
      </c>
      <c r="G60" s="101">
        <f>G59/12</f>
        <v/>
      </c>
      <c r="H60" s="101">
        <f>H59/12</f>
        <v/>
      </c>
      <c r="I60" s="101">
        <f>I59/12</f>
        <v/>
      </c>
      <c r="J60" s="101">
        <f>J59/12</f>
        <v/>
      </c>
      <c r="K60" s="101">
        <f>K59/12</f>
        <v/>
      </c>
      <c r="L60" s="101">
        <f>L59/12</f>
        <v/>
      </c>
      <c r="M60" s="101">
        <f>M59/12</f>
        <v/>
      </c>
      <c r="N60" s="101">
        <f>N59/12</f>
        <v/>
      </c>
      <c r="O60" s="101" t="inlineStr"/>
      <c r="P60" s="80" t="inlineStr"/>
    </row>
    <row r="61">
      <c r="B61" s="76" t="inlineStr">
        <is>
          <t>PAYBACK SIMPLES (anos)</t>
        </is>
      </c>
      <c r="C61" s="102">
        <f>IFERROR(C34/C59,0)</f>
        <v/>
      </c>
      <c r="D61" s="102">
        <f>IFERROR(D34/D59,0)</f>
        <v/>
      </c>
      <c r="E61" s="102">
        <f>IFERROR(E34/E59,0)</f>
        <v/>
      </c>
      <c r="F61" s="102">
        <f>IFERROR(F34/F59,0)</f>
        <v/>
      </c>
      <c r="G61" s="102">
        <f>IFERROR(G34/G59,0)</f>
        <v/>
      </c>
      <c r="H61" s="102">
        <f>IFERROR(H34/H59,0)</f>
        <v/>
      </c>
      <c r="I61" s="102">
        <f>IFERROR(I34/I59,0)</f>
        <v/>
      </c>
      <c r="J61" s="102">
        <f>IFERROR(J34/J59,0)</f>
        <v/>
      </c>
      <c r="K61" s="102">
        <f>IFERROR(K34/K59,0)</f>
        <v/>
      </c>
      <c r="L61" s="102">
        <f>IFERROR(L34/L59,0)</f>
        <v/>
      </c>
      <c r="M61" s="102">
        <f>IFERROR(M34/M59,0)</f>
        <v/>
      </c>
      <c r="N61" s="102">
        <f>IFERROR(N34/N59,0)</f>
        <v/>
      </c>
      <c r="O61" s="102" t="inlineStr"/>
      <c r="P61" s="80" t="inlineStr">
        <is>
          <t>Investimento total dividido pela economia do ano 1. CUIDADO: payback bom nao significa melhor negocio - ver a linha do lucro em 20 anos.</t>
        </is>
      </c>
    </row>
    <row r="62">
      <c r="B62" s="81" t="inlineStr">
        <is>
          <t>Economia acumulada em 5 anos (R$)</t>
        </is>
      </c>
      <c r="C62" s="103">
        <f>PROJECAO!E10</f>
        <v/>
      </c>
      <c r="D62" s="103">
        <f>PROJECAO!H10</f>
        <v/>
      </c>
      <c r="E62" s="103">
        <f>PROJECAO!K10</f>
        <v/>
      </c>
      <c r="F62" s="103">
        <f>PROJECAO!N10</f>
        <v/>
      </c>
      <c r="G62" s="103">
        <f>PROJECAO!Q10</f>
        <v/>
      </c>
      <c r="H62" s="103">
        <f>PROJECAO!T10</f>
        <v/>
      </c>
      <c r="I62" s="103">
        <f>PROJECAO!W10</f>
        <v/>
      </c>
      <c r="J62" s="103">
        <f>PROJECAO!Z10</f>
        <v/>
      </c>
      <c r="K62" s="103">
        <f>PROJECAO!AC10</f>
        <v/>
      </c>
      <c r="L62" s="103">
        <f>PROJECAO!AF10</f>
        <v/>
      </c>
      <c r="M62" s="103">
        <f>PROJECAO!AI10</f>
        <v/>
      </c>
      <c r="N62" s="103">
        <f>PROJECAO!AL10</f>
        <v/>
      </c>
      <c r="O62" s="103" t="inlineStr"/>
      <c r="P62" s="80" t="inlineStr"/>
    </row>
    <row r="63">
      <c r="B63" s="81" t="inlineStr">
        <is>
          <t>Economia acumulada em 10 anos (R$)</t>
        </is>
      </c>
      <c r="C63" s="103">
        <f>PROJECAO!E15</f>
        <v/>
      </c>
      <c r="D63" s="103">
        <f>PROJECAO!H15</f>
        <v/>
      </c>
      <c r="E63" s="103">
        <f>PROJECAO!K15</f>
        <v/>
      </c>
      <c r="F63" s="103">
        <f>PROJECAO!N15</f>
        <v/>
      </c>
      <c r="G63" s="103">
        <f>PROJECAO!Q15</f>
        <v/>
      </c>
      <c r="H63" s="103">
        <f>PROJECAO!T15</f>
        <v/>
      </c>
      <c r="I63" s="103">
        <f>PROJECAO!W15</f>
        <v/>
      </c>
      <c r="J63" s="103">
        <f>PROJECAO!Z15</f>
        <v/>
      </c>
      <c r="K63" s="103">
        <f>PROJECAO!AC15</f>
        <v/>
      </c>
      <c r="L63" s="103">
        <f>PROJECAO!AF15</f>
        <v/>
      </c>
      <c r="M63" s="103">
        <f>PROJECAO!AI15</f>
        <v/>
      </c>
      <c r="N63" s="103">
        <f>PROJECAO!AL15</f>
        <v/>
      </c>
      <c r="O63" s="103" t="inlineStr"/>
      <c r="P63" s="80" t="inlineStr"/>
    </row>
    <row r="64">
      <c r="B64" s="81" t="inlineStr">
        <is>
          <t>Economia acumulada em 20 anos (R$)</t>
        </is>
      </c>
      <c r="C64" s="103">
        <f>PROJECAO!E25</f>
        <v/>
      </c>
      <c r="D64" s="103">
        <f>PROJECAO!H25</f>
        <v/>
      </c>
      <c r="E64" s="103">
        <f>PROJECAO!K25</f>
        <v/>
      </c>
      <c r="F64" s="103">
        <f>PROJECAO!N25</f>
        <v/>
      </c>
      <c r="G64" s="103">
        <f>PROJECAO!Q25</f>
        <v/>
      </c>
      <c r="H64" s="103">
        <f>PROJECAO!T25</f>
        <v/>
      </c>
      <c r="I64" s="103">
        <f>PROJECAO!W25</f>
        <v/>
      </c>
      <c r="J64" s="103">
        <f>PROJECAO!Z25</f>
        <v/>
      </c>
      <c r="K64" s="103">
        <f>PROJECAO!AC25</f>
        <v/>
      </c>
      <c r="L64" s="103">
        <f>PROJECAO!AF25</f>
        <v/>
      </c>
      <c r="M64" s="103">
        <f>PROJECAO!AI25</f>
        <v/>
      </c>
      <c r="N64" s="103">
        <f>PROJECAO!AL25</f>
        <v/>
      </c>
      <c r="O64" s="103" t="inlineStr"/>
      <c r="P64" s="80" t="inlineStr"/>
    </row>
    <row r="65">
      <c r="B65" s="76" t="inlineStr">
        <is>
          <t>LUCRO LIQUIDO EM 20 ANOS (R$)</t>
        </is>
      </c>
      <c r="C65" s="104">
        <f>C64-C34</f>
        <v/>
      </c>
      <c r="D65" s="104">
        <f>D64-D34</f>
        <v/>
      </c>
      <c r="E65" s="104">
        <f>E64-E34</f>
        <v/>
      </c>
      <c r="F65" s="104">
        <f>F64-F34</f>
        <v/>
      </c>
      <c r="G65" s="104">
        <f>G64-G34</f>
        <v/>
      </c>
      <c r="H65" s="104">
        <f>H64-H34</f>
        <v/>
      </c>
      <c r="I65" s="104">
        <f>I64-I34</f>
        <v/>
      </c>
      <c r="J65" s="104">
        <f>J64-J34</f>
        <v/>
      </c>
      <c r="K65" s="104">
        <f>K64-K34</f>
        <v/>
      </c>
      <c r="L65" s="104">
        <f>L64-L34</f>
        <v/>
      </c>
      <c r="M65" s="104">
        <f>M64-M34</f>
        <v/>
      </c>
      <c r="N65" s="104">
        <f>N64-N34</f>
        <v/>
      </c>
      <c r="O65" s="104" t="inlineStr"/>
      <c r="P65" s="80" t="inlineStr">
        <is>
          <t>Economia de 20 anos menos o investimento. E O MELHOR CRITERIO DE DECISAO FINANCEIRA - melhor que o payback.</t>
        </is>
      </c>
    </row>
    <row r="66">
      <c r="B66" s="81" t="inlineStr">
        <is>
          <t>Retorno sobre o investimento em 20 anos</t>
        </is>
      </c>
      <c r="C66" s="97">
        <f>IFERROR(C65/C34,0)</f>
        <v/>
      </c>
      <c r="D66" s="97">
        <f>IFERROR(D65/D34,0)</f>
        <v/>
      </c>
      <c r="E66" s="97">
        <f>IFERROR(E65/E34,0)</f>
        <v/>
      </c>
      <c r="F66" s="97">
        <f>IFERROR(F65/F34,0)</f>
        <v/>
      </c>
      <c r="G66" s="97">
        <f>IFERROR(G65/G34,0)</f>
        <v/>
      </c>
      <c r="H66" s="97">
        <f>IFERROR(H65/H34,0)</f>
        <v/>
      </c>
      <c r="I66" s="97">
        <f>IFERROR(I65/I34,0)</f>
        <v/>
      </c>
      <c r="J66" s="97">
        <f>IFERROR(J65/J34,0)</f>
        <v/>
      </c>
      <c r="K66" s="97">
        <f>IFERROR(K65/K34,0)</f>
        <v/>
      </c>
      <c r="L66" s="97">
        <f>IFERROR(L65/L34,0)</f>
        <v/>
      </c>
      <c r="M66" s="97">
        <f>IFERROR(M65/M34,0)</f>
        <v/>
      </c>
      <c r="N66" s="97">
        <f>IFERROR(N65/N34,0)</f>
        <v/>
      </c>
      <c r="O66" s="97" t="inlineStr"/>
      <c r="P66" s="80" t="inlineStr"/>
    </row>
    <row r="68">
      <c r="B68" s="7" t="inlineStr">
        <is>
          <t>EXPANSAO FUTURA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B69" s="81" t="inlineStr">
        <is>
          <t>kWp maximo com o mesmo inversor (DC/AC 1,35)</t>
        </is>
      </c>
      <c r="C69" s="88">
        <f>C16*1.35</f>
        <v/>
      </c>
      <c r="D69" s="88">
        <f>D16*1.35</f>
        <v/>
      </c>
      <c r="E69" s="88">
        <f>E16*1.35</f>
        <v/>
      </c>
      <c r="F69" s="88">
        <f>F16*1.35</f>
        <v/>
      </c>
      <c r="G69" s="88">
        <f>G16*1.35</f>
        <v/>
      </c>
      <c r="H69" s="88">
        <f>H16*1.35</f>
        <v/>
      </c>
      <c r="I69" s="88">
        <f>I16*1.35</f>
        <v/>
      </c>
      <c r="J69" s="88">
        <f>J16*1.35</f>
        <v/>
      </c>
      <c r="K69" s="88">
        <f>K16*1.35</f>
        <v/>
      </c>
      <c r="L69" s="88">
        <f>L16*1.35</f>
        <v/>
      </c>
      <c r="M69" s="88">
        <f>M16*1.35</f>
        <v/>
      </c>
      <c r="N69" s="88">
        <f>N16*1.35</f>
        <v/>
      </c>
      <c r="O69" s="88" t="inlineStr"/>
      <c r="P69" s="80" t="inlineStr"/>
    </row>
    <row r="70">
      <c r="B70" s="76" t="inlineStr">
        <is>
          <t>Modulos que ainda cabem no inversor</t>
        </is>
      </c>
      <c r="C70" s="99">
        <f>MAX(0,ROUNDDOWN((C69-C14)*1000/C12,0))</f>
        <v/>
      </c>
      <c r="D70" s="99">
        <f>MAX(0,ROUNDDOWN((D69-D14)*1000/D12,0))</f>
        <v/>
      </c>
      <c r="E70" s="99">
        <f>MAX(0,ROUNDDOWN((E69-E14)*1000/E12,0))</f>
        <v/>
      </c>
      <c r="F70" s="99">
        <f>MAX(0,ROUNDDOWN((F69-F14)*1000/F12,0))</f>
        <v/>
      </c>
      <c r="G70" s="99">
        <f>MAX(0,ROUNDDOWN((G69-G14)*1000/G12,0))</f>
        <v/>
      </c>
      <c r="H70" s="99">
        <f>MAX(0,ROUNDDOWN((H69-H14)*1000/H12,0))</f>
        <v/>
      </c>
      <c r="I70" s="99">
        <f>MAX(0,ROUNDDOWN((I69-I14)*1000/I12,0))</f>
        <v/>
      </c>
      <c r="J70" s="99">
        <f>MAX(0,ROUNDDOWN((J69-J14)*1000/J12,0))</f>
        <v/>
      </c>
      <c r="K70" s="99">
        <f>MAX(0,ROUNDDOWN((K69-K14)*1000/K12,0))</f>
        <v/>
      </c>
      <c r="L70" s="99">
        <f>MAX(0,ROUNDDOWN((L69-L14)*1000/L12,0))</f>
        <v/>
      </c>
      <c r="M70" s="99">
        <f>MAX(0,ROUNDDOWN((M69-M14)*1000/M12,0))</f>
        <v/>
      </c>
      <c r="N70" s="99">
        <f>MAX(0,ROUNDDOWN((N69-N14)*1000/N12,0))</f>
        <v/>
      </c>
      <c r="O70" s="99" t="inlineStr"/>
      <c r="P70" s="79" t="inlineStr">
        <is>
          <t>ALERTA: os inversores de 5 kW da SunWash (C e D) nao aceitam nenhum modulo a mais. Sun Coast v2 (+5) e a opcao com microinversores tem folga real - mas nos micros o limite verdadeiro e o numero de CANAIS livres, nao a potencia.</t>
        </is>
      </c>
    </row>
    <row r="71">
      <c r="B71" s="81" t="inlineStr">
        <is>
          <t>LIMITE REAL de expansao (canais e estrutura)</t>
        </is>
      </c>
      <c r="C71" s="82" t="inlineStr">
        <is>
          <t>1 modulo (limite de potencia)</t>
        </is>
      </c>
      <c r="D71" s="82" t="inlineStr">
        <is>
          <t>1 modulo (limite de potencia)</t>
        </is>
      </c>
      <c r="E71" s="82" t="inlineStr">
        <is>
          <t>0 - inversor no limite</t>
        </is>
      </c>
      <c r="F71" s="82" t="inlineStr">
        <is>
          <t>0 - inversor no limite</t>
        </is>
      </c>
      <c r="G71" s="82" t="inlineStr">
        <is>
          <t>0 - inversor no limite</t>
        </is>
      </c>
      <c r="H71" s="82" t="inlineStr">
        <is>
          <t>0 - inversor sobrecarregado</t>
        </is>
      </c>
      <c r="I71" s="82" t="inlineStr">
        <is>
          <t>2 modulos - so 3 micros = 12 canais</t>
        </is>
      </c>
      <c r="J71" s="82" t="inlineStr">
        <is>
          <t>1 modulo; para 12 precisa de um 3o micro</t>
        </is>
      </c>
      <c r="K71" s="82" t="inlineStr">
        <is>
          <t>5 modulos</t>
        </is>
      </c>
      <c r="L71" s="82" t="inlineStr">
        <is>
          <t>4 modulos - o 6KTL-L1 aceita ate 9.000 Wp</t>
        </is>
      </c>
      <c r="M71" s="82" t="inlineStr">
        <is>
          <t>0 - os 12 canais ficam cheios</t>
        </is>
      </c>
      <c r="N71" s="82" t="inlineStr">
        <is>
          <t>exige um 4o micro</t>
        </is>
      </c>
      <c r="O71" s="82" t="inlineStr"/>
      <c r="P71" s="80" t="inlineStr">
        <is>
          <t>A linha acima calcula pela POTENCIA do inversor. Em microinversor o limite verdadeiro e o numero de CANAIS livres. Os 4 micros Deye SUN-S225G4-EU-Q0 tem 4 MPPTs cada = 16 canais para 10 modulos, ou seja 6 canais livres: da para ir a 10,4 kWp sem comprar inversor nenhum.</t>
        </is>
      </c>
    </row>
    <row r="72">
      <c r="B72" s="81" t="inlineStr">
        <is>
          <t>Geracao extra possivel sem trocar inversor (kWh/ano)</t>
        </is>
      </c>
      <c r="C72" s="85">
        <f>C70*C12/1000*GERACAO!$I$17</f>
        <v/>
      </c>
      <c r="D72" s="85">
        <f>D70*D12/1000*GERACAO!$I$17</f>
        <v/>
      </c>
      <c r="E72" s="85">
        <f>E70*E12/1000*GERACAO!$I$17</f>
        <v/>
      </c>
      <c r="F72" s="85">
        <f>F70*F12/1000*GERACAO!$I$17</f>
        <v/>
      </c>
      <c r="G72" s="85">
        <f>G70*G12/1000*GERACAO!$I$17</f>
        <v/>
      </c>
      <c r="H72" s="85">
        <f>H70*H12/1000*GERACAO!$I$17</f>
        <v/>
      </c>
      <c r="I72" s="85">
        <f>I70*I12/1000*GERACAO!$I$17</f>
        <v/>
      </c>
      <c r="J72" s="85">
        <f>J70*J12/1000*GERACAO!$I$17</f>
        <v/>
      </c>
      <c r="K72" s="85">
        <f>K70*K12/1000*GERACAO!$I$17</f>
        <v/>
      </c>
      <c r="L72" s="85">
        <f>L70*L12/1000*GERACAO!$I$17</f>
        <v/>
      </c>
      <c r="M72" s="85">
        <f>M70*M12/1000*GERACAO!$I$17</f>
        <v/>
      </c>
      <c r="N72" s="85">
        <f>N70*N12/1000*GERACAO!$I$17</f>
        <v/>
      </c>
      <c r="O72" s="85" t="inlineStr"/>
      <c r="P72" s="80" t="inlineStr"/>
    </row>
    <row r="73">
      <c r="B73" s="76" t="inlineStr">
        <is>
          <t>Situacao do inversor</t>
        </is>
      </c>
      <c r="C73" s="77">
        <f>IF(C18&gt;1.35,"JA SOBRECARREGADO",IF(C18&lt;1.1,"SUBAPROVEITADO","OK"))</f>
        <v/>
      </c>
      <c r="D73" s="77">
        <f>IF(D18&gt;1.35,"JA SOBRECARREGADO",IF(D18&lt;1.1,"SUBAPROVEITADO","OK"))</f>
        <v/>
      </c>
      <c r="E73" s="77">
        <f>IF(E18&gt;1.35,"JA SOBRECARREGADO",IF(E18&lt;1.1,"SUBAPROVEITADO","OK"))</f>
        <v/>
      </c>
      <c r="F73" s="77">
        <f>IF(F18&gt;1.35,"JA SOBRECARREGADO",IF(F18&lt;1.1,"SUBAPROVEITADO","OK"))</f>
        <v/>
      </c>
      <c r="G73" s="77">
        <f>IF(G18&gt;1.35,"JA SOBRECARREGADO",IF(G18&lt;1.1,"SUBAPROVEITADO","OK"))</f>
        <v/>
      </c>
      <c r="H73" s="77">
        <f>IF(H18&gt;1.35,"JA SOBRECARREGADO",IF(H18&lt;1.1,"SUBAPROVEITADO","OK"))</f>
        <v/>
      </c>
      <c r="I73" s="77">
        <f>IF(I18&gt;1.35,"JA SOBRECARREGADO",IF(I18&lt;1.1,"SUBAPROVEITADO","OK"))</f>
        <v/>
      </c>
      <c r="J73" s="77">
        <f>IF(J18&gt;1.35,"JA SOBRECARREGADO",IF(J18&lt;1.1,"SUBAPROVEITADO","OK"))</f>
        <v/>
      </c>
      <c r="K73" s="77">
        <f>IF(K18&gt;1.35,"JA SOBRECARREGADO",IF(K18&lt;1.1,"SUBAPROVEITADO","OK"))</f>
        <v/>
      </c>
      <c r="L73" s="77">
        <f>IF(L18&gt;1.35,"JA SOBRECARREGADO",IF(L18&lt;1.1,"SUBAPROVEITADO","OK"))</f>
        <v/>
      </c>
      <c r="M73" s="77">
        <f>IF(M18&gt;1.35,"JA SOBRECARREGADO",IF(M18&lt;1.1,"SUBAPROVEITADO","OK"))</f>
        <v/>
      </c>
      <c r="N73" s="77">
        <f>IF(N18&gt;1.35,"JA SOBRECARREGADO",IF(N18&lt;1.1,"SUBAPROVEITADO","OK"))</f>
        <v/>
      </c>
      <c r="O73" s="77" t="inlineStr"/>
      <c r="P73" s="80" t="inlineStr">
        <is>
          <t>'JA SOBRECARREGADO' = inversor pequeno para os modulos desde o dia 1 (perde geracao e garantia). 'SUBAPROVEITADO' = folga; boa se proposital para expansao, ruim se foi venda a mais.</t>
        </is>
      </c>
    </row>
    <row r="75">
      <c r="B75" s="7" t="inlineStr">
        <is>
          <t>DECISAO ESPECIFICA: AUXSOL x HUAWEI NA PROPOSTA DA SUNWASH</t>
        </is>
      </c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B76" s="21" t="inlineStr">
        <is>
          <t>Diferenca de preco (Huawei - AUXSOL)</t>
        </is>
      </c>
      <c r="C76" s="35">
        <f>F29-E29</f>
        <v/>
      </c>
    </row>
    <row r="77">
      <c r="B77" s="4" t="inlineStr">
        <is>
          <t>Diferenca no payback, em anos</t>
        </is>
      </c>
      <c r="C77" s="29">
        <f>IFERROR(F61-E61,0)</f>
        <v/>
      </c>
    </row>
    <row r="78">
      <c r="B78" s="4" t="inlineStr">
        <is>
          <t>Diferenca no lucro de 20 anos</t>
        </is>
      </c>
      <c r="C78" s="105">
        <f>F65-E65</f>
        <v/>
      </c>
    </row>
    <row r="80">
      <c r="B80" s="5" t="inlineStr">
        <is>
          <t>RECOMENDACAO: entre as duas da SunWash com inversor string, pagar os R$ 1.000 e ficar com o HUAWEI.</t>
        </is>
      </c>
    </row>
    <row r="81">
      <c r="B81" s="4" t="inlineStr">
        <is>
          <t>O inversor e o unico componente que quase certamente sera trocado dentro da vida do sistema. Huawei tem garantia de fabrica mais longa,</t>
        </is>
      </c>
    </row>
    <row r="82">
      <c r="B82" s="4" t="inlineStr">
        <is>
          <t>assistencia estabelecida no Brasil, monitoramento maduro e valor de revenda. AUXSOL tem penetracao pequena: se a marca sair do mercado,</t>
        </is>
      </c>
    </row>
    <row r="83">
      <c r="B83" s="4" t="inlineStr">
        <is>
          <t>voce fica com o sistema parado esperando peca. O atraso de cerca de 2 meses no payback nao paga esse risco.</t>
        </is>
      </c>
    </row>
    <row r="84">
      <c r="B84" s="4" t="inlineStr"/>
    </row>
    <row r="85">
      <c r="B85" s="5" t="inlineStr">
        <is>
          <t>OBSERVACAO SOBRE PAYBACK x LUCRO: sistema pequeno se paga rapido e depois te deixa pagando conta para sempre.</t>
        </is>
      </c>
    </row>
    <row r="86">
      <c r="B86" s="4" t="inlineStr">
        <is>
          <t>Payback ignora a energia que voce NAO compensou. Por isso o criterio correto e o LUCRO LIQUIDO EM 20 ANOS.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20" customWidth="1" min="4" max="4"/>
    <col width="20" customWidth="1" min="5" max="5"/>
    <col width="58" customWidth="1" min="6" max="6"/>
  </cols>
  <sheetData>
    <row r="1">
      <c r="A1" s="1" t="inlineStr">
        <is>
          <t>LISTA DE MATERIAIS - AS TRES COTACOES BELENERGY LADO A LADO</t>
        </is>
      </c>
    </row>
    <row r="2">
      <c r="A2" s="2" t="inlineStr">
        <is>
          <t>Os tres orcamentos vem do MESMO distribuidor (Belenus/BelEnergy). Isso permite comparar escopo item por item.</t>
        </is>
      </c>
    </row>
    <row r="4" ht="50" customHeight="1">
      <c r="B4" s="17" t="inlineStr">
        <is>
          <t>ITEM</t>
        </is>
      </c>
      <c r="C4" s="17" t="inlineStr">
        <is>
          <t>A) TecSolarSP
JA Solar 615W
WEB-006506779</t>
        </is>
      </c>
      <c r="D4" s="17" t="inlineStr">
        <is>
          <t>B) TecSolarSP
Astronergy 605W
WEB-006512519</t>
        </is>
      </c>
      <c r="E4" s="17" t="inlineStr">
        <is>
          <t>E) William
Maxeon 535W
WEB-006493952</t>
        </is>
      </c>
      <c r="F4" s="17" t="inlineStr">
        <is>
          <t>ANALISE TECNICA</t>
        </is>
      </c>
    </row>
    <row r="5">
      <c r="B5" s="18" t="inlineStr">
        <is>
          <t>Modulo fotovoltaico</t>
        </is>
      </c>
      <c r="C5" s="54" t="inlineStr">
        <is>
          <t>12 pc JA Solar 615 W bifacial N-type</t>
        </is>
      </c>
      <c r="D5" s="54" t="inlineStr">
        <is>
          <t>12 pc Astronergy 605 W bifacial N-type</t>
        </is>
      </c>
      <c r="E5" s="54" t="inlineStr">
        <is>
          <t>10 pc Maxeon 535 W bifacial PERC</t>
        </is>
      </c>
      <c r="F5" s="106" t="inlineStr">
        <is>
          <t>A e B usam N-type TOPCon (geracao atual). E usa PERC, tecnologia anterior: menor eficiencia por m2 e degradacao maior.</t>
        </is>
      </c>
    </row>
    <row r="6">
      <c r="B6" s="18" t="inlineStr">
        <is>
          <t>Inversor</t>
        </is>
      </c>
      <c r="C6" s="54" t="inlineStr">
        <is>
          <t>Huawei 6 kW mono 220 V 2 MPPT</t>
        </is>
      </c>
      <c r="D6" s="54" t="inlineStr">
        <is>
          <t>Huawei 6 kW mono 220 V 2 MPPT</t>
        </is>
      </c>
      <c r="E6" s="54" t="inlineStr">
        <is>
          <t>Solis 4 kW mono 220 V 2 MPPT</t>
        </is>
      </c>
      <c r="F6" s="106" t="inlineStr">
        <is>
          <t>TODOS de 220 V - incompativeis com o padrao monofasico atual sem adequacao. O Solis de 4 kW limita a expansao futura a zero.</t>
        </is>
      </c>
    </row>
    <row r="7">
      <c r="B7" s="18" t="inlineStr">
        <is>
          <t>Estrutura - suporte de telhado</t>
        </is>
      </c>
      <c r="C7" s="54" t="inlineStr">
        <is>
          <t>18 pc suporte pe em L FIBROCIMENTO</t>
        </is>
      </c>
      <c r="D7" s="54" t="inlineStr">
        <is>
          <t>18 pc suporte pe em L FIBROCIMENTO</t>
        </is>
      </c>
      <c r="E7" s="54" t="inlineStr">
        <is>
          <t>10 pc gancho telha COLONIAL c/ prolongador</t>
        </is>
      </c>
      <c r="F7" s="107" t="inlineStr">
        <is>
          <t>CONTRADICAO GRAVE: TecSolarSP cotou FIBROCIMENTO; William e Sun Coast cotaram TELHA COLONIAL. Dois contra um. Se for colonial, a estrutura das duas cotacoes da TecSolarSP esta errada. Resolver com uma foto antes de comprar.</t>
        </is>
      </c>
    </row>
    <row r="8">
      <c r="B8" s="18" t="inlineStr">
        <is>
          <t>Haste / fixacao</t>
        </is>
      </c>
      <c r="C8" s="54" t="inlineStr">
        <is>
          <t>18 pc haste 10x250 mm inox (madeira)</t>
        </is>
      </c>
      <c r="D8" s="54" t="inlineStr">
        <is>
          <t>20 pc haste 10x250 mm inox</t>
        </is>
      </c>
      <c r="E8" s="54" t="inlineStr">
        <is>
          <t>incluso no gancho</t>
        </is>
      </c>
      <c r="F8" s="106" t="inlineStr">
        <is>
          <t>Fixacao por perfuracao exige vedacao com arruela EPDM. Exigir garantia contra infiltracao.</t>
        </is>
      </c>
    </row>
    <row r="9">
      <c r="B9" s="18" t="inlineStr">
        <is>
          <t>Perfil de fixacao</t>
        </is>
      </c>
      <c r="C9" s="54" t="inlineStr">
        <is>
          <t>24 pc de 2,70 m</t>
        </is>
      </c>
      <c r="D9" s="54" t="inlineStr">
        <is>
          <t>24 pc de 2,70 m</t>
        </is>
      </c>
      <c r="E9" s="54" t="inlineStr">
        <is>
          <t>10 pc de 2,28 m</t>
        </is>
      </c>
      <c r="F9" s="106" t="inlineStr">
        <is>
          <t>Compativel com a quantidade de modulos de cada projeto.</t>
        </is>
      </c>
    </row>
    <row r="10">
      <c r="B10" s="18" t="inlineStr">
        <is>
          <t>Grampos final / intermediario</t>
        </is>
      </c>
      <c r="C10" s="54" t="inlineStr">
        <is>
          <t>6 jg final + 6 jg intermediario</t>
        </is>
      </c>
      <c r="D10" s="54" t="inlineStr">
        <is>
          <t>6 jg final + 6 jg intermediario</t>
        </is>
      </c>
      <c r="E10" s="54" t="inlineStr">
        <is>
          <t>2 jg final + 10 jg intermediario</t>
        </is>
      </c>
      <c r="F10" s="106" t="inlineStr">
        <is>
          <t>Sem observacao relevante.</t>
        </is>
      </c>
    </row>
    <row r="11">
      <c r="B11" s="18" t="inlineStr">
        <is>
          <t>Garra de aterramento</t>
        </is>
      </c>
      <c r="C11" s="54" t="inlineStr">
        <is>
          <t>6 jg</t>
        </is>
      </c>
      <c r="D11" s="54" t="inlineStr">
        <is>
          <t>3 jg</t>
        </is>
      </c>
      <c r="E11" s="54" t="inlineStr">
        <is>
          <t>2 jg</t>
        </is>
      </c>
      <c r="F11" s="107" t="inlineStr">
        <is>
          <t>ALERTA: quantidade cai muito em B e E. Aterramento de moldura e estrutura precisa ser continuo em todas as fileiras.</t>
        </is>
      </c>
    </row>
    <row r="12">
      <c r="B12" s="18" t="inlineStr">
        <is>
          <t>Cabo solar CC</t>
        </is>
      </c>
      <c r="C12" s="54" t="inlineStr">
        <is>
          <t>30 m vermelho + 30 m preto de 6 mm2</t>
        </is>
      </c>
      <c r="D12" s="54" t="inlineStr">
        <is>
          <t>30 m vermelho + 30 m preto de 4 mm2</t>
        </is>
      </c>
      <c r="E12" s="54" t="inlineStr">
        <is>
          <t>25 m vermelho + 25 m preto de 4 mm2</t>
        </is>
      </c>
      <c r="F12" s="106" t="inlineStr">
        <is>
          <t>Bitola de 4 mm2 atende em corrente, mas verificar queda de tensao no percurso real telhado-inversor.</t>
        </is>
      </c>
    </row>
    <row r="13">
      <c r="B13" s="18" t="inlineStr">
        <is>
          <t>Cabo de aterramento / equipotencializacao</t>
        </is>
      </c>
      <c r="C13" s="54" t="inlineStr">
        <is>
          <t>20 m de 4 mm2 verde</t>
        </is>
      </c>
      <c r="D13" s="108" t="inlineStr">
        <is>
          <t>NAO INCLUIDO</t>
        </is>
      </c>
      <c r="E13" s="54" t="inlineStr">
        <is>
          <t>10 m de 6 mm2 verde</t>
        </is>
      </c>
      <c r="F13" s="107" t="inlineStr">
        <is>
          <t>ALERTA: a cotacao B nao tem condutor de equipotencializacao. Item de seguranca, nao e opcional.</t>
        </is>
      </c>
    </row>
    <row r="14">
      <c r="B14" s="18" t="inlineStr">
        <is>
          <t>String box CC</t>
        </is>
      </c>
      <c r="C14" s="54" t="inlineStr">
        <is>
          <t>1 pc 2E/2S 1000 V Clamper</t>
        </is>
      </c>
      <c r="D14" s="54" t="inlineStr">
        <is>
          <t>1 pc 2E/2S 1000 V Clamper</t>
        </is>
      </c>
      <c r="E14" s="54" t="inlineStr">
        <is>
          <t>1 pc 2-4E/2-4S 1000 V</t>
        </is>
      </c>
      <c r="F14" s="106" t="inlineStr">
        <is>
          <t>Verificar em todas se contem DPS CC e chave seccionadora sob carga.</t>
        </is>
      </c>
    </row>
    <row r="15">
      <c r="B15" s="18" t="inlineStr">
        <is>
          <t>DPS do lado CA</t>
        </is>
      </c>
      <c r="C15" s="108" t="inlineStr">
        <is>
          <t>NAO INCLUIDO</t>
        </is>
      </c>
      <c r="D15" s="108" t="inlineStr">
        <is>
          <t>NAO INCLUIDO</t>
        </is>
      </c>
      <c r="E15" s="54" t="inlineStr">
        <is>
          <t>3 pc Clamper classe II 275 V 15 kA</t>
        </is>
      </c>
      <c r="F15" s="107" t="inlineStr">
        <is>
          <t>ALERTA: so o William incluiu protecao contra surto no lado CA. Nas duas da TecSolarSP falta - e obrigatorio pela NBR 5410.</t>
        </is>
      </c>
    </row>
    <row r="16">
      <c r="B16" s="18" t="inlineStr">
        <is>
          <t>Cabo CA</t>
        </is>
      </c>
      <c r="C16" s="54" t="inlineStr">
        <is>
          <t>100 m flex 6 mm2 preto</t>
        </is>
      </c>
      <c r="D16" s="54" t="inlineStr">
        <is>
          <t>100 m flex 6 mm2 preto</t>
        </is>
      </c>
      <c r="E16" s="54" t="inlineStr">
        <is>
          <t>nao listado separadamente</t>
        </is>
      </c>
      <c r="F16" s="106" t="inlineStr">
        <is>
          <t>Falta o condutor neutro/terra e o disjuntor CA dedicado em A e B. Confirmar se entram na instalacao.</t>
        </is>
      </c>
    </row>
    <row r="17">
      <c r="B17" s="18" t="inlineStr">
        <is>
          <t>Disjuntor CA dedicado</t>
        </is>
      </c>
      <c r="C17" s="108" t="inlineStr">
        <is>
          <t>NAO INCLUIDO</t>
        </is>
      </c>
      <c r="D17" s="108" t="inlineStr">
        <is>
          <t>NAO INCLUIDO</t>
        </is>
      </c>
      <c r="E17" s="54" t="inlineStr">
        <is>
          <t>NAO LISTADO</t>
        </is>
      </c>
      <c r="F17" s="107" t="inlineStr">
        <is>
          <t>ALERTA: nenhuma das tres lista o disjuntor de protecao do inversor. Confirmar por escrito.</t>
        </is>
      </c>
    </row>
    <row r="18">
      <c r="B18" s="18" t="inlineStr">
        <is>
          <t>Validacao da estrutura pelo distribuidor</t>
        </is>
      </c>
      <c r="C18" s="54" t="inlineStr">
        <is>
          <t>OK - 6 linhas x 2 modulos, paisagem</t>
        </is>
      </c>
      <c r="D18" s="108" t="inlineStr">
        <is>
          <t>NAO RECOMENDADA pela BelEnergy</t>
        </is>
      </c>
      <c r="E18" s="54" t="inlineStr">
        <is>
          <t>nao mencionado</t>
        </is>
      </c>
      <c r="F18" s="107" t="inlineStr">
        <is>
          <t>ALERTA: a propria cotacao B avisa que a estrutura escolhida nao foi validada pelo distribuidor. Risco mecanico transferido ao integrador.</t>
        </is>
      </c>
    </row>
    <row r="19">
      <c r="B19" s="18" t="inlineStr">
        <is>
          <t>Validade da cotacao</t>
        </is>
      </c>
      <c r="C19" s="54" t="inlineStr">
        <is>
          <t>3 dias (emitida 08/08/2026)</t>
        </is>
      </c>
      <c r="D19" s="54" t="inlineStr">
        <is>
          <t>3 dias (emitida 10/08/2026)</t>
        </is>
      </c>
      <c r="E19" s="54" t="inlineStr">
        <is>
          <t>PIX (WEB-006493952)</t>
        </is>
      </c>
      <c r="F19" s="106" t="inlineStr">
        <is>
          <t>Cotacoes de material valem 3 dias. Os precos provavelmente ja mudaram - pedir revalidacao antes de fechar.</t>
        </is>
      </c>
    </row>
    <row r="20">
      <c r="B20" s="18" t="inlineStr">
        <is>
          <t>Garantia do distribuidor</t>
        </is>
      </c>
      <c r="C20" s="54" t="inlineStr">
        <is>
          <t>1 ano Belenus</t>
        </is>
      </c>
      <c r="D20" s="54" t="inlineStr">
        <is>
          <t>1 ano Belenus</t>
        </is>
      </c>
      <c r="E20" s="54" t="inlineStr">
        <is>
          <t>1 ano Belenus</t>
        </is>
      </c>
      <c r="F20" s="106" t="inlineStr">
        <is>
          <t>A Belenus cobre 1 ano. Todo o resto (25 a 30 anos do modulo, 5 a 10 do inversor) e garantia do FABRICANTE, nao do integrador.</t>
        </is>
      </c>
    </row>
    <row r="22">
      <c r="B22" s="3" t="inlineStr">
        <is>
          <t>FECHAMENTO FINANCEIRO DAS COTACOES DE MATERIAL</t>
        </is>
      </c>
    </row>
    <row r="23">
      <c r="B23" s="17" t="inlineStr">
        <is>
          <t>Componente</t>
        </is>
      </c>
      <c r="C23" s="17" t="inlineStr">
        <is>
          <t>A) JA Solar 615W</t>
        </is>
      </c>
      <c r="D23" s="17" t="inlineStr">
        <is>
          <t>B) Astronergy 605W</t>
        </is>
      </c>
      <c r="E23" s="17" t="inlineStr">
        <is>
          <t>E) William Maxeon 535W</t>
        </is>
      </c>
    </row>
    <row r="24">
      <c r="B24" s="4" t="inlineStr">
        <is>
          <t>Total de produtos</t>
        </is>
      </c>
      <c r="C24" s="13" t="n">
        <v>17344.82</v>
      </c>
      <c r="D24" s="13" t="n">
        <v>16588.37</v>
      </c>
      <c r="E24" s="13" t="n">
        <v>10565.21</v>
      </c>
    </row>
    <row r="25">
      <c r="B25" s="4" t="inlineStr">
        <is>
          <t>Frete</t>
        </is>
      </c>
      <c r="C25" s="13" t="n">
        <v>732.4400000000001</v>
      </c>
      <c r="D25" s="13" t="n">
        <v>719.53</v>
      </c>
      <c r="E25" s="13" t="n">
        <v>593.7</v>
      </c>
    </row>
    <row r="26">
      <c r="B26" s="4" t="inlineStr">
        <is>
          <t>Seguro</t>
        </is>
      </c>
      <c r="C26" s="13" t="n">
        <v>151.44</v>
      </c>
      <c r="D26" s="13" t="n">
        <v>0</v>
      </c>
      <c r="E26" s="13" t="n">
        <v>0</v>
      </c>
    </row>
    <row r="27">
      <c r="B27" s="4" t="inlineStr">
        <is>
          <t>ICMS / IPI / ST / DIFAL</t>
        </is>
      </c>
      <c r="C27" s="13" t="n">
        <v>0</v>
      </c>
      <c r="D27" s="13" t="n">
        <v>0</v>
      </c>
      <c r="E27" s="13" t="n">
        <v>0</v>
      </c>
    </row>
    <row r="28">
      <c r="B28" s="21" t="inlineStr">
        <is>
          <t>TOTAL DO KIT (material)</t>
        </is>
      </c>
      <c r="C28" s="50">
        <f>SUM(C24:C27)</f>
        <v/>
      </c>
      <c r="D28" s="50">
        <f>SUM(D24:D27)</f>
        <v/>
      </c>
      <c r="E28" s="50">
        <f>SUM(E24:E27)</f>
        <v/>
      </c>
    </row>
    <row r="30">
      <c r="B30" s="4" t="inlineStr">
        <is>
          <t>Potencia do sistema (kWp)</t>
        </is>
      </c>
      <c r="C30" s="47">
        <f>COMPARATIVO!C14</f>
        <v/>
      </c>
      <c r="D30" s="47">
        <f>COMPARATIVO!D14</f>
        <v/>
      </c>
      <c r="E30" s="47">
        <f>COMPARATIVO!G14</f>
        <v/>
      </c>
    </row>
    <row r="31">
      <c r="B31" s="21" t="inlineStr">
        <is>
          <t>Custo do material por Wp</t>
        </is>
      </c>
      <c r="C31" s="109">
        <f>IFERROR(C28/(C30*1000),0)</f>
        <v/>
      </c>
      <c r="D31" s="109">
        <f>IFERROR(D28/(D30*1000),0)</f>
        <v/>
      </c>
      <c r="E31" s="109">
        <f>IFERROR(E28/(E30*1000),0)</f>
        <v/>
      </c>
    </row>
    <row r="33">
      <c r="B33" s="4" t="inlineStr">
        <is>
          <t>Mao de obra + engenharia declarada pelo William</t>
        </is>
      </c>
      <c r="C33" s="4" t="inlineStr">
        <is>
          <t>R$ 7.690,00 para 10 modulos = R$ 769 por modulo, ou R$ 1,44 por Wp</t>
        </is>
      </c>
    </row>
    <row r="34">
      <c r="B34" s="21" t="inlineStr">
        <is>
          <t>Margem que o William cobrou sobre o kit</t>
        </is>
      </c>
      <c r="C34" s="110">
        <f>IFERROR(7690/E28,0)</f>
        <v/>
      </c>
      <c r="D34" s="2" t="inlineStr">
        <is>
          <t>Referencia de mercado para negociar com a TecSolarSP: eles pagam R$ 18.228,70 de material.</t>
        </is>
      </c>
    </row>
    <row r="35">
      <c r="B35" s="21" t="inlineStr">
        <is>
          <t>Preco de venda justo estimado para a opcao A</t>
        </is>
      </c>
      <c r="C35" s="23">
        <f>C28+790+6900/10*12</f>
        <v/>
      </c>
      <c r="D35" s="2" t="inlineStr">
        <is>
          <t>Se a TecSolarSP pedir muito acima disso, ha espaco para negociar - agora voce sabe o custo deles.</t>
        </is>
      </c>
    </row>
    <row r="37">
      <c r="B37" s="3" t="inlineStr">
        <is>
          <t>A opcao A (615 W) vale os R$ 920,80 a mais que a opcao B (605 W)?</t>
        </is>
      </c>
    </row>
    <row r="38">
      <c r="B38" s="4" t="inlineStr">
        <is>
          <t>Diferenca de preco do material</t>
        </is>
      </c>
      <c r="C38" s="15">
        <f>C28-D28</f>
        <v/>
      </c>
    </row>
    <row r="39">
      <c r="B39" s="4" t="inlineStr">
        <is>
          <t>Geracao anual extra da opcao A (kWh)</t>
        </is>
      </c>
      <c r="C39" s="12">
        <f>COMPARATIVO!C39-COMPARATIVO!D39</f>
        <v/>
      </c>
    </row>
    <row r="40">
      <c r="B40" s="4" t="inlineStr">
        <is>
          <t>Valor dessa geracao extra por ano</t>
        </is>
      </c>
      <c r="C40" s="15">
        <f>C39*ENTRADAS!C18</f>
        <v/>
      </c>
    </row>
    <row r="41">
      <c r="B41" s="21" t="inlineStr">
        <is>
          <t>Anos para a geracao extra pagar a diferenca</t>
        </is>
      </c>
      <c r="C41" s="36">
        <f>IFERROR(C38/C40,0)</f>
        <v/>
      </c>
      <c r="D41" s="2" t="inlineStr">
        <is>
          <t>Se der acima de ~6 anos, a diferenca NAO se paga pela geracao: decida por marca, garantia e completude do kit (a opcao A tem aterramento completo, a B nao).</t>
        </is>
      </c>
    </row>
    <row r="46">
      <c r="B46" s="7" t="inlineStr">
        <is>
          <t>PEDIDO ROUTE 66 No 7123382 - CONFERENCIA DA LISTA E COTACAO DE MERCADO</t>
        </is>
      </c>
      <c r="C46" s="8" t="n"/>
      <c r="D46" s="8" t="n"/>
      <c r="E46" s="8" t="n"/>
      <c r="F46" s="8" t="n"/>
    </row>
    <row r="47">
      <c r="B47" s="2" t="inlineStr">
        <is>
          <t>Emitido 12/08/2026, valido ate 15/08/2026. Cliente do pedido: HENRIQUE DOS SANTOS PEITE (CPF proprio). Cond. pag. C18. Deposito Jundiai.</t>
        </is>
      </c>
    </row>
    <row r="48" ht="32" customHeight="1">
      <c r="B48" s="17" t="inlineStr">
        <is>
          <t>Item do pedido</t>
        </is>
      </c>
      <c r="C48" s="17" t="inlineStr">
        <is>
          <t>Qtd</t>
        </is>
      </c>
      <c r="D48" s="17" t="inlineStr">
        <is>
          <t>Preco unit. de mercado (R$)</t>
        </is>
      </c>
      <c r="E48" s="17" t="inlineStr">
        <is>
          <t>Total (R$)</t>
        </is>
      </c>
      <c r="F48" s="17" t="inlineStr">
        <is>
          <t>Observacao tecnica</t>
        </is>
      </c>
    </row>
    <row r="49">
      <c r="B49" s="18" t="inlineStr">
        <is>
          <t>Painel ZNShine ZXNR-MD132-650 N-type 650 W</t>
        </is>
      </c>
      <c r="C49" s="18" t="n">
        <v>10</v>
      </c>
      <c r="D49" s="13" t="n">
        <v>740</v>
      </c>
      <c r="E49" s="111">
        <f>C49*D49</f>
        <v/>
      </c>
      <c r="F49" s="106" t="inlineStr">
        <is>
          <t>Referencia: painel 650 W bifacial em varejo a R$ 739 no PIX (Minha Casa Solar). ZNShine tende a ficar na mesma faixa</t>
        </is>
      </c>
    </row>
    <row r="50">
      <c r="B50" s="18" t="inlineStr">
        <is>
          <t>Microinversor Deye SUN-S225G4-EU-Q0 2,25 kW 4 MPPT</t>
        </is>
      </c>
      <c r="C50" s="18" t="n">
        <v>3</v>
      </c>
      <c r="D50" s="13" t="n">
        <v>1121.17</v>
      </c>
      <c r="E50" s="111">
        <f>C50*D50</f>
        <v/>
      </c>
      <c r="F50" s="106" t="inlineStr">
        <is>
          <t>PRECO REAL de varejo no PIX (Minha Casa Solar, ago/2026). Aceita 18 A por MPPT e modulos de ate 790 W</t>
        </is>
      </c>
    </row>
    <row r="51">
      <c r="B51" s="18" t="inlineStr">
        <is>
          <t>Estrutura p/ telha colonial s/ perfil - 4 placas</t>
        </is>
      </c>
      <c r="C51" s="18" t="n">
        <v>3</v>
      </c>
      <c r="D51" s="13" t="n">
        <v>450</v>
      </c>
      <c r="E51" s="111">
        <f>C51*D51</f>
        <v/>
      </c>
      <c r="F51" s="107" t="inlineStr">
        <is>
          <t>ESTIMATIVA. Kits completos de 4 placas com barras saem por ~R$ 1.000; a versao SEM perfil e bem mais barata</t>
        </is>
      </c>
    </row>
    <row r="52">
      <c r="B52" s="18" t="inlineStr">
        <is>
          <t>Perfil aluminio 2400 mm - 1 par</t>
        </is>
      </c>
      <c r="C52" s="18" t="n">
        <v>5</v>
      </c>
      <c r="D52" s="13" t="n">
        <v>260</v>
      </c>
      <c r="E52" s="111">
        <f>C52*D52</f>
        <v/>
      </c>
      <c r="F52" s="107" t="inlineStr">
        <is>
          <t>ESTIMATIVA por par, com base em kits de 4 perfis de 2,4 m</t>
        </is>
      </c>
    </row>
    <row r="53">
      <c r="B53" s="18" t="inlineStr">
        <is>
          <t>Conector MC4 par macho/femea STAUBLI</t>
        </is>
      </c>
      <c r="C53" s="18" t="n">
        <v>20</v>
      </c>
      <c r="D53" s="13" t="n">
        <v>32</v>
      </c>
      <c r="E53" s="111">
        <f>C53*D53</f>
        <v/>
      </c>
      <c r="F53" s="107" t="inlineStr">
        <is>
          <t>ESTIMATIVA. Staubli original custa mais que generico</t>
        </is>
      </c>
    </row>
    <row r="54">
      <c r="B54" s="18" t="inlineStr">
        <is>
          <t>Parafuso T cabeca de martelo M8 x 40 A2</t>
        </is>
      </c>
      <c r="C54" s="18" t="n">
        <v>6</v>
      </c>
      <c r="D54" s="13" t="n">
        <v>5</v>
      </c>
      <c r="E54" s="111">
        <f>C54*D54</f>
        <v/>
      </c>
      <c r="F54" s="107" t="inlineStr">
        <is>
          <t>ESTIMATIVA</t>
        </is>
      </c>
    </row>
    <row r="55">
      <c r="B55" s="18" t="inlineStr">
        <is>
          <t>Porca sextavada DIN 934</t>
        </is>
      </c>
      <c r="C55" s="18" t="n">
        <v>6</v>
      </c>
      <c r="D55" s="13" t="n">
        <v>2</v>
      </c>
      <c r="E55" s="111">
        <f>C55*D55</f>
        <v/>
      </c>
      <c r="F55" s="107" t="inlineStr">
        <is>
          <t>ESTIMATIVA</t>
        </is>
      </c>
    </row>
    <row r="56">
      <c r="B56" s="18" t="inlineStr">
        <is>
          <t>Arruela de pressao</t>
        </is>
      </c>
      <c r="C56" s="18" t="n">
        <v>6</v>
      </c>
      <c r="D56" s="13" t="n">
        <v>1.5</v>
      </c>
      <c r="E56" s="111">
        <f>C56*D56</f>
        <v/>
      </c>
      <c r="F56" s="107" t="inlineStr">
        <is>
          <t>ESTIMATIVA</t>
        </is>
      </c>
    </row>
    <row r="57">
      <c r="B57" s="18" t="inlineStr">
        <is>
          <t>Placa de advertencia geracao solar</t>
        </is>
      </c>
      <c r="C57" s="18" t="n">
        <v>3</v>
      </c>
      <c r="D57" s="13" t="n">
        <v>0</v>
      </c>
      <c r="E57" s="111">
        <f>C57*D57</f>
        <v/>
      </c>
      <c r="F57" s="106" t="inlineStr">
        <is>
          <t>Cortesia da Route 66</t>
        </is>
      </c>
    </row>
    <row r="58">
      <c r="B58" s="21" t="inlineStr">
        <is>
          <t>TOTAL COTADO A PRECO DE VAREJO</t>
        </is>
      </c>
      <c r="E58" s="35">
        <f>SUM(E49:E57)</f>
        <v/>
      </c>
    </row>
    <row r="59">
      <c r="B59" s="21" t="inlineStr">
        <is>
          <t>TOTAL COBRADO NO PEDIDO ROUTE 66</t>
        </is>
      </c>
      <c r="E59" s="13" t="n">
        <v>16780.48</v>
      </c>
    </row>
    <row r="60">
      <c r="B60" s="21" t="inlineStr">
        <is>
          <t>DIFERENCA (pedido - varejo)</t>
        </is>
      </c>
      <c r="E60" s="112">
        <f>E59-E58</f>
        <v/>
      </c>
    </row>
    <row r="61">
      <c r="B61" s="4" t="inlineStr">
        <is>
          <t>Diferenca em percentual</t>
        </is>
      </c>
      <c r="E61" s="30">
        <f>IFERROR(E59/E58-1,0)</f>
        <v/>
      </c>
    </row>
    <row r="62">
      <c r="B62" s="21" t="inlineStr">
        <is>
          <t>Custo do material por Wp (pedido Route 66)</t>
        </is>
      </c>
      <c r="E62" s="113">
        <f>IFERROR(E59/(10*650),0)</f>
        <v/>
      </c>
    </row>
    <row r="63">
      <c r="B63" s="4" t="inlineStr">
        <is>
          <t>Custo do material por Wp (cotacao de varejo)</t>
        </is>
      </c>
      <c r="E63" s="114">
        <f>IFERROR(E58/(10*650),0)</f>
        <v/>
      </c>
    </row>
    <row r="65">
      <c r="B65" s="7" t="inlineStr">
        <is>
          <t>O QUE FALTA NA LISTA - conferencia item a item</t>
        </is>
      </c>
      <c r="C65" s="8" t="n"/>
      <c r="D65" s="8" t="n"/>
      <c r="E65" s="8" t="n"/>
      <c r="F65" s="8" t="n"/>
    </row>
    <row r="66">
      <c r="B66" s="18" t="inlineStr">
        <is>
          <t>Cabo CA dos microinversores ate o quadro</t>
        </is>
      </c>
      <c r="C66" s="115" t="inlineStr">
        <is>
          <t>AUSENTE</t>
        </is>
      </c>
      <c r="D66" s="106" t="inlineStr">
        <is>
          <t>Microinversor precisa de cabo tronco ou cabo CA dimensionado. Sem ele o sistema nao liga</t>
        </is>
      </c>
      <c r="E66" s="116" t="n"/>
      <c r="F66" s="116" t="n"/>
    </row>
    <row r="67">
      <c r="B67" s="18" t="inlineStr">
        <is>
          <t>Disjuntor CA dedicado do sistema</t>
        </is>
      </c>
      <c r="C67" s="115" t="inlineStr">
        <is>
          <t>AUSENTE</t>
        </is>
      </c>
      <c r="D67" s="106" t="inlineStr">
        <is>
          <t>Obrigatorio pela NBR 5410. A proposta prometia 'TROCA DE DISJUNTOR DO PADRAO' e nao ha disjuntor nenhum</t>
        </is>
      </c>
      <c r="E67" s="116" t="n"/>
      <c r="F67" s="116" t="n"/>
    </row>
    <row r="68">
      <c r="B68" s="18" t="inlineStr">
        <is>
          <t>DPS - dispositivo de protecao contra surtos (CA)</t>
        </is>
      </c>
      <c r="C68" s="115" t="inlineStr">
        <is>
          <t>AUSENTE</t>
        </is>
      </c>
      <c r="D68" s="106" t="inlineStr">
        <is>
          <t>Obrigatorio. A proposta diz 'PROTECOES INCLUSAS'</t>
        </is>
      </c>
      <c r="E68" s="116" t="n"/>
      <c r="F68" s="116" t="n"/>
    </row>
    <row r="69">
      <c r="B69" s="18" t="inlineStr">
        <is>
          <t>Quadro / caixa de protecao CA</t>
        </is>
      </c>
      <c r="C69" s="115" t="inlineStr">
        <is>
          <t>AUSENTE</t>
        </is>
      </c>
      <c r="D69" s="106" t="inlineStr">
        <is>
          <t>Onde entram disjuntor e DPS</t>
        </is>
      </c>
      <c r="E69" s="116" t="n"/>
      <c r="F69" s="116" t="n"/>
    </row>
    <row r="70">
      <c r="B70" s="18" t="inlineStr">
        <is>
          <t>Cabo e material de aterramento / equipotencializacao</t>
        </is>
      </c>
      <c r="C70" s="115" t="inlineStr">
        <is>
          <t>AUSENTE</t>
        </is>
      </c>
      <c r="D70" s="106" t="inlineStr">
        <is>
          <t>Item de seguranca. Molduras e estrutura precisam ser aterradas</t>
        </is>
      </c>
      <c r="E70" s="116" t="n"/>
      <c r="F70" s="116" t="n"/>
    </row>
    <row r="71">
      <c r="B71" s="18" t="inlineStr">
        <is>
          <t>Conectores de tronco e tampas de terminacao dos micros</t>
        </is>
      </c>
      <c r="C71" s="115" t="inlineStr">
        <is>
          <t>AUSENTE</t>
        </is>
      </c>
      <c r="D71" s="106" t="inlineStr">
        <is>
          <t>Especificos da Deye. Sem eles nao se interliga os microinversores</t>
        </is>
      </c>
      <c r="E71" s="116" t="n"/>
      <c r="F71" s="116" t="n"/>
    </row>
    <row r="72">
      <c r="B72" s="18" t="inlineStr">
        <is>
          <t>Material do padrao de entrada (mono -&gt; bifasico)</t>
        </is>
      </c>
      <c r="C72" s="115" t="inlineStr">
        <is>
          <t>AUSENTE</t>
        </is>
      </c>
      <c r="D72" s="106" t="inlineStr">
        <is>
          <t>A proposta pagina 5 dizia incluir 'PADRAO DE ENTRADA'. Nao ha nada disso no pedido</t>
        </is>
      </c>
      <c r="E72" s="116" t="n"/>
      <c r="F72" s="116" t="n"/>
    </row>
    <row r="73">
      <c r="B73" s="18" t="inlineStr">
        <is>
          <t>Eletroduto, eletrocalha e acessorios</t>
        </is>
      </c>
      <c r="C73" s="115" t="inlineStr">
        <is>
          <t>AUSENTE</t>
        </is>
      </c>
      <c r="D73" s="106" t="inlineStr">
        <is>
          <t>Infraestrutura de passagem dos cabos</t>
        </is>
      </c>
      <c r="E73" s="116" t="n"/>
      <c r="F73" s="116" t="n"/>
    </row>
    <row r="74">
      <c r="B74" s="18" t="inlineStr">
        <is>
          <t>Estrutura para telha colonial</t>
        </is>
      </c>
      <c r="C74" s="117" t="inlineStr">
        <is>
          <t>PRESENTE</t>
        </is>
      </c>
      <c r="D74" s="106" t="inlineStr">
        <is>
          <t>3 kits para 4 placas = ate 12 placas. CONFIRMA que o telhado e colonial</t>
        </is>
      </c>
      <c r="E74" s="116" t="n"/>
      <c r="F74" s="116" t="n"/>
    </row>
    <row r="75">
      <c r="B75" s="18" t="inlineStr">
        <is>
          <t>Perfis de aluminio</t>
        </is>
      </c>
      <c r="C75" s="117" t="inlineStr">
        <is>
          <t>PRESENTE</t>
        </is>
      </c>
      <c r="D75" s="106" t="inlineStr">
        <is>
          <t>5 pares de 2,4 m = 24 m de trilho. Adequado para 10 modulos, sem folga</t>
        </is>
      </c>
      <c r="E75" s="116" t="n"/>
      <c r="F75" s="116" t="n"/>
    </row>
    <row r="76">
      <c r="B76" s="18" t="inlineStr">
        <is>
          <t>Conectores MC4</t>
        </is>
      </c>
      <c r="C76" s="117" t="inlineStr">
        <is>
          <t>PRESENTE</t>
        </is>
      </c>
      <c r="D76" s="106" t="inlineStr">
        <is>
          <t>20 pares para 10 modulos - correto</t>
        </is>
      </c>
      <c r="E76" s="116" t="n"/>
      <c r="F76" s="116" t="n"/>
    </row>
    <row r="77">
      <c r="B77" s="18" t="inlineStr">
        <is>
          <t>Paineis e microinversores</t>
        </is>
      </c>
      <c r="C77" s="117" t="inlineStr">
        <is>
          <t>PRESENTE</t>
        </is>
      </c>
      <c r="D77" s="106" t="inlineStr">
        <is>
          <t>10 paineis e 3 micros</t>
        </is>
      </c>
      <c r="E77" s="116" t="n"/>
      <c r="F77" s="116" t="n"/>
    </row>
    <row r="79">
      <c r="B79" s="3" t="inlineStr">
        <is>
          <t>AS TRES CONCLUSOES DESTA CONFERENCIA:</t>
        </is>
      </c>
    </row>
    <row r="80">
      <c r="B80" s="5" t="inlineStr">
        <is>
          <t>1) O PEDIDO TEM 3 MICROINVERSORES, A PROPOSTA DIZ 4. Com 3 micros sao 6,75 kW AC e 12 canais (10 usados, 2 livres),</t>
        </is>
      </c>
    </row>
    <row r="81">
      <c r="B81" s="4" t="inlineStr">
        <is>
          <t xml:space="preserve">   e nao 9,0 kW com 16 canais. Isso nao e erro tecnico - a relacao DC/AC fica em 0,96, que e melhor que 0,72,</t>
        </is>
      </c>
    </row>
    <row r="82">
      <c r="B82" s="4" t="inlineStr">
        <is>
          <t xml:space="preserve">   e a potencia a homologar cai de 41 A para 31 A. MAS a folga de expansao cai de 6 modulos para 2, e o preco</t>
        </is>
      </c>
    </row>
    <row r="83">
      <c r="B83" s="4" t="inlineStr">
        <is>
          <t xml:space="preserve">   deveria ser menor que o de 4 micros. Descubra qual e o certo.</t>
        </is>
      </c>
    </row>
    <row r="84">
      <c r="B84" s="4" t="inlineStr"/>
    </row>
    <row r="85">
      <c r="B85" s="5" t="inlineStr">
        <is>
          <t>2) FALTAM TODOS OS ITENS ELETRICOS. Nao ha cabo CA, disjuntor, DPS, quadro, aterramento nem material de padrao.</t>
        </is>
      </c>
    </row>
    <row r="86">
      <c r="B86" s="4" t="inlineStr">
        <is>
          <t xml:space="preserve">   A proposta vende 'ESTRUTURA, PROTECOES, CABOS E HOMOLOGACAO INCLUSOS' - e o pedido tem estrutura, mas</t>
        </is>
      </c>
    </row>
    <row r="87">
      <c r="B87" s="4" t="inlineStr">
        <is>
          <t xml:space="preserve">   protecoes e cabos NAO. Ou esse material vem por fora, ou o escopo prometido nao sera entregue.</t>
        </is>
      </c>
    </row>
    <row r="88">
      <c r="B88" s="4" t="inlineStr"/>
    </row>
    <row r="89">
      <c r="B89" s="5" t="inlineStr">
        <is>
          <t>3) O VALOR DO PEDIDO E PRATICAMENTE IGUAL AO DA PROPOSTA: R$ 16.780,48 contra R$ 16.780,54, seis centavos de</t>
        </is>
      </c>
    </row>
    <row r="90">
      <c r="B90" s="4" t="inlineStr">
        <is>
          <t xml:space="preserve">   diferenca. Ou seja, o que o Yuri chamou de 'PROJETO COMPLETO' e, na verdade, o custo do MATERIAL - e o pedido</t>
        </is>
      </c>
    </row>
    <row r="91">
      <c r="B91" s="4" t="inlineStr">
        <is>
          <t xml:space="preserve">   ainda esta no SEU CPF, com entrega em deposito de Jundiai. Mao de obra, engenharia, homologacao e padrao de</t>
        </is>
      </c>
    </row>
    <row r="92">
      <c r="B92" s="4" t="inlineStr">
        <is>
          <t xml:space="preserve">   entrada nao cabem dentro desse numero. E preciso perguntar quanto custa a instalacao, separadamente.</t>
        </is>
      </c>
    </row>
    <row r="93">
      <c r="B93" s="4" t="inlineStr"/>
    </row>
    <row r="94">
      <c r="B94" s="5" t="inlineStr">
        <is>
          <t>SOBRE A COTACAO DE VAREJO ACIMA: os precos sao de lojas online de agosto/2026 (fontes citadas na coluna F).</t>
        </is>
      </c>
    </row>
    <row r="95">
      <c r="B95" s="3" t="inlineStr">
        <is>
          <t>O microinversor Deye tem preco REAL confirmado; os demais sao estimativas. Uma ressalva importante e justa:</t>
        </is>
      </c>
    </row>
    <row r="96">
      <c r="B96" s="4" t="inlineStr">
        <is>
          <t>a condicao C18 (18 vezes no cartao) costuma embutir de 10% a 18% de custo financeiro, entao o preco A VISTA</t>
        </is>
      </c>
    </row>
    <row r="97">
      <c r="B97" s="4" t="inlineStr">
        <is>
          <t>deste mesmo pedido deve ser sensivelmente menor. PECA O PRECO A VISTA (PIX) ANTES DE COMPARAR.</t>
        </is>
      </c>
    </row>
    <row r="100">
      <c r="B100" s="7" t="inlineStr">
        <is>
          <t>COMPARACAO DIRETA: YURI (R$ 16.780) x AD BIOSOLAR (R$ 16.200) - MESMO ESCOPO?</t>
        </is>
      </c>
      <c r="C100" s="8" t="n"/>
      <c r="D100" s="8" t="n"/>
      <c r="E100" s="8" t="n"/>
      <c r="F100" s="8" t="n"/>
    </row>
    <row r="101">
      <c r="B101" s="17" t="inlineStr">
        <is>
          <t>O que esta incluido no preco</t>
        </is>
      </c>
      <c r="C101" s="17" t="inlineStr">
        <is>
          <t>YURI / SunWash</t>
        </is>
      </c>
      <c r="D101" s="17" t="inlineStr">
        <is>
          <t>AD BioSolar</t>
        </is>
      </c>
      <c r="E101" s="17" t="inlineStr">
        <is>
          <t>Comentario</t>
        </is>
      </c>
    </row>
    <row r="102">
      <c r="B102" s="18" t="inlineStr">
        <is>
          <t>Preco anunciado</t>
        </is>
      </c>
      <c r="C102" s="118" t="inlineStr">
        <is>
          <t>R$ 16.780,48</t>
        </is>
      </c>
      <c r="D102" s="118" t="inlineStr">
        <is>
          <t>R$ 16.200,00</t>
        </is>
      </c>
      <c r="E102" s="106" t="inlineStr">
        <is>
          <t>Diferenca de apenas R$ 580 - mas nao sao a mesma coisa</t>
        </is>
      </c>
    </row>
    <row r="103">
      <c r="B103" s="18" t="inlineStr">
        <is>
          <t>Natureza do preco</t>
        </is>
      </c>
      <c r="C103" s="118" t="inlineStr">
        <is>
          <t>MATERIAL (pedido Route 66)</t>
        </is>
      </c>
      <c r="D103" s="118" t="inlineStr">
        <is>
          <t>TURNKEY (projeto completo)</t>
        </is>
      </c>
      <c r="E103" s="106" t="inlineStr">
        <is>
          <t>O pedido do Yuri esta no CPF do cliente, nao no da empresa</t>
        </is>
      </c>
    </row>
    <row r="104">
      <c r="B104" s="18" t="inlineStr">
        <is>
          <t>Modulos e inversor</t>
        </is>
      </c>
      <c r="C104" s="117" t="inlineStr">
        <is>
          <t>SIM</t>
        </is>
      </c>
      <c r="D104" s="117" t="inlineStr">
        <is>
          <t>SIM</t>
        </is>
      </c>
      <c r="E104" s="106" t="inlineStr">
        <is>
          <t>10x ZNShine 650 W + 3 micros Deye  x  10x JA Solar 615 W + Huawei 6 kW</t>
        </is>
      </c>
    </row>
    <row r="105">
      <c r="B105" s="18" t="inlineStr">
        <is>
          <t>Estrutura de telhado</t>
        </is>
      </c>
      <c r="C105" s="117" t="inlineStr">
        <is>
          <t>SIM</t>
        </is>
      </c>
      <c r="D105" s="117" t="inlineStr">
        <is>
          <t>SIM</t>
        </is>
      </c>
      <c r="E105" s="106" t="inlineStr">
        <is>
          <t>Ambos para telha colonial</t>
        </is>
      </c>
    </row>
    <row r="106">
      <c r="B106" s="18" t="inlineStr">
        <is>
          <t>Cabo CA, disjuntor, DPS, quadro</t>
        </is>
      </c>
      <c r="C106" s="115" t="inlineStr">
        <is>
          <t>NAO</t>
        </is>
      </c>
      <c r="D106" s="117" t="inlineStr">
        <is>
          <t>SIM (montagem eletrica)</t>
        </is>
      </c>
      <c r="E106" s="106" t="inlineStr">
        <is>
          <t>Ausentes no pedido Route 66</t>
        </is>
      </c>
    </row>
    <row r="107">
      <c r="B107" s="18" t="inlineStr">
        <is>
          <t>Aterramento</t>
        </is>
      </c>
      <c r="C107" s="115" t="inlineStr">
        <is>
          <t>NAO</t>
        </is>
      </c>
      <c r="D107" s="117" t="inlineStr">
        <is>
          <t>SIM (montagem eletrica)</t>
        </is>
      </c>
      <c r="E107" s="106" t="inlineStr"/>
    </row>
    <row r="108">
      <c r="B108" s="18" t="inlineStr">
        <is>
          <t>Vistoria tecnica</t>
        </is>
      </c>
      <c r="C108" s="115" t="inlineStr">
        <is>
          <t>NAO</t>
        </is>
      </c>
      <c r="D108" s="117" t="inlineStr">
        <is>
          <t>SIM</t>
        </is>
      </c>
      <c r="E108" s="106" t="inlineStr"/>
    </row>
    <row r="109">
      <c r="B109" s="18" t="inlineStr">
        <is>
          <t>Projeto eletrico</t>
        </is>
      </c>
      <c r="C109" s="115" t="inlineStr">
        <is>
          <t>NAO</t>
        </is>
      </c>
      <c r="D109" s="117" t="inlineStr">
        <is>
          <t>SIM</t>
        </is>
      </c>
      <c r="E109" s="106" t="inlineStr"/>
    </row>
    <row r="110">
      <c r="B110" s="18" t="inlineStr">
        <is>
          <t>ART do projeto e da instalacao</t>
        </is>
      </c>
      <c r="C110" s="115" t="inlineStr">
        <is>
          <t>NAO</t>
        </is>
      </c>
      <c r="D110" s="117" t="inlineStr">
        <is>
          <t>SIM</t>
        </is>
      </c>
      <c r="E110" s="106" t="inlineStr">
        <is>
          <t>Sem ART nao ha homologacao</t>
        </is>
      </c>
    </row>
    <row r="111">
      <c r="B111" s="18" t="inlineStr">
        <is>
          <t>Homologacao junto a Enel</t>
        </is>
      </c>
      <c r="C111" s="115" t="inlineStr">
        <is>
          <t>NAO</t>
        </is>
      </c>
      <c r="D111" s="117" t="inlineStr">
        <is>
          <t>SIM</t>
        </is>
      </c>
      <c r="E111" s="106" t="inlineStr"/>
    </row>
    <row r="112">
      <c r="B112" s="18" t="inlineStr">
        <is>
          <t>Instalacao e montagem</t>
        </is>
      </c>
      <c r="C112" s="115" t="inlineStr">
        <is>
          <t>NAO</t>
        </is>
      </c>
      <c r="D112" s="117" t="inlineStr">
        <is>
          <t>SIM</t>
        </is>
      </c>
      <c r="E112" s="106" t="inlineStr"/>
    </row>
    <row r="113">
      <c r="B113" s="18" t="inlineStr">
        <is>
          <t>Gestao e fiscalizacao de obra</t>
        </is>
      </c>
      <c r="C113" s="115" t="inlineStr">
        <is>
          <t>NAO</t>
        </is>
      </c>
      <c r="D113" s="117" t="inlineStr">
        <is>
          <t>SIM</t>
        </is>
      </c>
      <c r="E113" s="106" t="inlineStr"/>
    </row>
    <row r="114">
      <c r="B114" s="18" t="inlineStr">
        <is>
          <t>Frete ate a residencia</t>
        </is>
      </c>
      <c r="C114" s="115" t="inlineStr">
        <is>
          <t>NAO - retirada em Jundiai</t>
        </is>
      </c>
      <c r="D114" s="117" t="inlineStr">
        <is>
          <t>SIM</t>
        </is>
      </c>
      <c r="E114" s="106" t="inlineStr">
        <is>
          <t>Jundiai fica a ~60 km do Tucuruvi</t>
        </is>
      </c>
    </row>
    <row r="115">
      <c r="B115" s="18" t="inlineStr">
        <is>
          <t>Documentacao do projeto</t>
        </is>
      </c>
      <c r="C115" s="115" t="inlineStr">
        <is>
          <t>NAO</t>
        </is>
      </c>
      <c r="D115" s="117" t="inlineStr">
        <is>
          <t>SIM</t>
        </is>
      </c>
      <c r="E115" s="106" t="inlineStr"/>
    </row>
    <row r="116">
      <c r="B116" s="18" t="inlineStr">
        <is>
          <t>Padrao de entrada mono -&gt; bifasico</t>
        </is>
      </c>
      <c r="C116" s="115" t="inlineStr">
        <is>
          <t>NAO</t>
        </is>
      </c>
      <c r="D116" s="115" t="inlineStr">
        <is>
          <t>NAO</t>
        </is>
      </c>
      <c r="E116" s="106" t="inlineStr">
        <is>
          <t>OS DOIS EXCLUEM. Somar cerca de R$ 2.500 nos dois casos</t>
        </is>
      </c>
    </row>
    <row r="118">
      <c r="B118" s="3" t="inlineStr">
        <is>
          <t>CUSTO DE MATERIAL DA AD BIOSOLAR A PRECO DE VAREJO (para testar se R$ 16.200 fecha)</t>
        </is>
      </c>
    </row>
    <row r="119">
      <c r="B119" s="4" t="inlineStr">
        <is>
          <t>Modulo JA Solar JAM66-D45-615LB 615 W bifacial N-type</t>
        </is>
      </c>
      <c r="C119" s="4" t="n">
        <v>10</v>
      </c>
      <c r="D119" s="13" t="n">
        <v>800</v>
      </c>
      <c r="E119" s="15">
        <f>C119*D119</f>
        <v/>
      </c>
      <c r="F119" s="2" t="inlineStr">
        <is>
          <t>ESTIMATIVA de varejo. Modulo vidro-vidro premium</t>
        </is>
      </c>
    </row>
    <row r="120">
      <c r="B120" s="4" t="inlineStr">
        <is>
          <t>Inversor Huawei SUN2000-6KTL-L1 6 kW</t>
        </is>
      </c>
      <c r="C120" s="4" t="n">
        <v>1</v>
      </c>
      <c r="D120" s="13" t="n">
        <v>3851.19</v>
      </c>
      <c r="E120" s="15">
        <f>C120*D120</f>
        <v/>
      </c>
      <c r="F120" s="2" t="inlineStr">
        <is>
          <t>PRECO REAL de varejo no PIX (Meu Gerador, ago/2026)</t>
        </is>
      </c>
    </row>
    <row r="121">
      <c r="B121" s="4" t="inlineStr">
        <is>
          <t>Estrutura telha colonial + perfis para 10 modulos</t>
        </is>
      </c>
      <c r="C121" s="4" t="n">
        <v>1</v>
      </c>
      <c r="D121" s="13" t="n">
        <v>2650</v>
      </c>
      <c r="E121" s="15">
        <f>C121*D121</f>
        <v/>
      </c>
      <c r="F121" s="2" t="inlineStr">
        <is>
          <t>ESTIMATIVA, mesma base do pedido Route 66</t>
        </is>
      </c>
    </row>
    <row r="122">
      <c r="B122" s="4" t="inlineStr">
        <is>
          <t>Cabos CC e CA, MC4, string box, DPS e disjuntor</t>
        </is>
      </c>
      <c r="C122" s="4" t="n">
        <v>1</v>
      </c>
      <c r="D122" s="13" t="n">
        <v>1200</v>
      </c>
      <c r="E122" s="15">
        <f>C122*D122</f>
        <v/>
      </c>
      <c r="F122" s="2" t="inlineStr">
        <is>
          <t>ESTIMATIVA</t>
        </is>
      </c>
    </row>
    <row r="123">
      <c r="B123" s="21" t="inlineStr">
        <is>
          <t>MATERIAL A PRECO DE VAREJO</t>
        </is>
      </c>
      <c r="E123" s="35">
        <f>SUM(E119:E122)</f>
        <v/>
      </c>
    </row>
    <row r="124">
      <c r="B124" s="4" t="inlineStr">
        <is>
          <t>Desconto tipico de distribuidor sobre o varejo</t>
        </is>
      </c>
      <c r="D124" s="14" t="n">
        <v>0.2</v>
      </c>
    </row>
    <row r="125">
      <c r="B125" s="21" t="inlineStr">
        <is>
          <t>MATERIAL AO CUSTO PROVAVEL DA EMPRESA</t>
        </is>
      </c>
      <c r="E125" s="119">
        <f>E123*(1-D124)</f>
        <v/>
      </c>
    </row>
    <row r="126">
      <c r="B126" s="4" t="inlineStr">
        <is>
          <t>Preco de venda da AD BioSolar</t>
        </is>
      </c>
      <c r="E126" s="13" t="n">
        <v>16200</v>
      </c>
    </row>
    <row r="127">
      <c r="B127" s="21" t="inlineStr">
        <is>
          <t>SOBRA PARA SERVICOS (projeto, ART, instalacao, homologacao, frete)</t>
        </is>
      </c>
      <c r="E127" s="23">
        <f>E126-E125</f>
        <v/>
      </c>
    </row>
    <row r="129">
      <c r="B129" s="3" t="inlineStr">
        <is>
          <t>LEITURA DESTE TESTE:</t>
        </is>
      </c>
    </row>
    <row r="130">
      <c r="B130" s="4" t="inlineStr">
        <is>
          <t>Se a AD BioSolar comprasse no varejo, o material sozinho custaria mais que o preco de venda dela - o negocio nao fecharia.</t>
        </is>
      </c>
    </row>
    <row r="131">
      <c r="B131" s="4" t="inlineStr">
        <is>
          <t>Comprando com desconto tipico de distribuidor (20%), sobra algo em torno de R$ 3.500 para cobrir vistoria, projeto, ART,</t>
        </is>
      </c>
    </row>
    <row r="132">
      <c r="B132" s="4" t="inlineStr">
        <is>
          <t>instalacao de 10 modulos, homologacao, gestao de obra e frete. E APERTADO, MAS POSSIVEL para uma operacao enxuta.</t>
        </is>
      </c>
    </row>
    <row r="133">
      <c r="B133" s="4" t="inlineStr">
        <is>
          <t>Conclusao: os R$ 16.200 sao agressivos e plausiveis - nao sao impossiveis. Mas justamente por serem apertados, exija o</t>
        </is>
      </c>
    </row>
    <row r="134">
      <c r="B134" s="4" t="inlineStr">
        <is>
          <t>escopo por escrito e pergunte se a equipe de instalacao e propria ou terceirizada.</t>
        </is>
      </c>
    </row>
    <row r="135">
      <c r="B135" s="4" t="inlineStr"/>
    </row>
    <row r="136">
      <c r="B136" s="5" t="inlineStr">
        <is>
          <t>E O PONTO PRINCIPAL DA COMPARACAO: por R$ 580 A MENOS que o Yuri, a AD BioSolar entrega o mesmo material MAIS</t>
        </is>
      </c>
    </row>
    <row r="137">
      <c r="B137" s="4" t="inlineStr">
        <is>
          <t>projeto, ART, instalacao, homologacao, frete e montagem eletrica completa. Nao e uma disputa de preco - e de escopo.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56" customWidth="1" min="16" max="16"/>
  </cols>
  <sheetData>
    <row r="1">
      <c r="A1" s="1" t="inlineStr">
        <is>
          <t>MODELO DE ECONOMIA - ANO 1, PELAS REGRAS DA LEI 14.300/2022</t>
        </is>
      </c>
    </row>
    <row r="2">
      <c r="A2" s="2" t="inlineStr">
        <is>
          <t>Base: Cenario 3 (residencia + BYD + margem). A conta NAO vai a zero: permanecem custo de disponibilidade, Fio B e COSIP.</t>
        </is>
      </c>
    </row>
    <row r="4" ht="34" customHeight="1">
      <c r="B4" s="17" t="inlineStr">
        <is>
          <t>LINHA DE CALCULO</t>
        </is>
      </c>
      <c r="C4" s="17" t="inlineStr">
        <is>
          <t>A) TecSolarSP JA Solar 615W Huawei 6 kW</t>
        </is>
      </c>
      <c r="D4" s="17" t="inlineStr">
        <is>
          <t>B) TecSolarSP Astronergy 605W Huawei 6 kW</t>
        </is>
      </c>
      <c r="E4" s="17" t="inlineStr">
        <is>
          <t>C) SunWash TCL 620W AUXSOL 5 kW</t>
        </is>
      </c>
      <c r="F4" s="17" t="inlineStr">
        <is>
          <t>D) SunWash TCL 620W HUAWEI 5 kW</t>
        </is>
      </c>
      <c r="G4" s="17" t="inlineStr">
        <is>
          <t>E) William Maxeon 535W Solis 4 kW</t>
        </is>
      </c>
      <c r="H4" s="17" t="inlineStr">
        <is>
          <t>F) Sun Coast v1 RONMA 585W AUXSOL 3 kW (SUPERADA)</t>
        </is>
      </c>
      <c r="I4" s="17" t="inlineStr">
        <is>
          <t>G) SunWash MICRO 10x650W 3x Deye 2,25 kW</t>
        </is>
      </c>
      <c r="J4" s="17" t="inlineStr">
        <is>
          <t>H) Sfero (Renato) Longi/DAH 590W 2x micro 2,5 kW</t>
        </is>
      </c>
      <c r="K4" s="17" t="inlineStr">
        <is>
          <t>I) Sun Coast v2 TCL 620W x11 AUXSOL 7,5 kW</t>
        </is>
      </c>
      <c r="L4" s="17" t="inlineStr">
        <is>
          <t>J) AD BioSolar JA Solar 615W x10 Huawei SUN2000-6KTL-L1</t>
        </is>
      </c>
      <c r="M4" s="17" t="inlineStr">
        <is>
          <t>SIMULACAO G12 MICRO 12x650W 4x Deye 2,25 kW</t>
        </is>
      </c>
      <c r="N4" s="17" t="inlineStr">
        <is>
          <t>SIMULACAO G14 MICRO 14x650W 4x Deye 2,25 kW</t>
        </is>
      </c>
      <c r="O4" s="17" t="inlineStr">
        <is>
          <t>M) Bruno G4 (a receber)</t>
        </is>
      </c>
      <c r="P4" s="17" t="inlineStr">
        <is>
          <t>EXPLICACAO</t>
        </is>
      </c>
    </row>
    <row r="5">
      <c r="B5" s="4" t="inlineStr">
        <is>
          <t>Consumo anual - Cenario 3 (kWh)</t>
        </is>
      </c>
      <c r="C5" s="39">
        <f>BYD!$G$35</f>
        <v/>
      </c>
      <c r="D5" s="39">
        <f>BYD!$G$35</f>
        <v/>
      </c>
      <c r="E5" s="39">
        <f>BYD!$G$35</f>
        <v/>
      </c>
      <c r="F5" s="39">
        <f>BYD!$G$35</f>
        <v/>
      </c>
      <c r="G5" s="39">
        <f>BYD!$G$35</f>
        <v/>
      </c>
      <c r="H5" s="39">
        <f>BYD!$G$35</f>
        <v/>
      </c>
      <c r="I5" s="39">
        <f>BYD!$G$35</f>
        <v/>
      </c>
      <c r="J5" s="39">
        <f>BYD!$G$35</f>
        <v/>
      </c>
      <c r="K5" s="39">
        <f>BYD!$G$35</f>
        <v/>
      </c>
      <c r="L5" s="39">
        <f>BYD!$G$35</f>
        <v/>
      </c>
      <c r="M5" s="39">
        <f>BYD!$G$35</f>
        <v/>
      </c>
      <c r="N5" s="39">
        <f>BYD!$G$35</f>
        <v/>
      </c>
      <c r="O5" s="116" t="inlineStr"/>
      <c r="P5" s="80" t="inlineStr">
        <is>
          <t>Residencia + BYD + margem de crescimento</t>
        </is>
      </c>
    </row>
    <row r="6">
      <c r="B6" s="4" t="inlineStr">
        <is>
          <t>Geracao anual do sistema (kWh)</t>
        </is>
      </c>
      <c r="C6" s="39">
        <f>COMPARATIVO!C39</f>
        <v/>
      </c>
      <c r="D6" s="39">
        <f>COMPARATIVO!D39</f>
        <v/>
      </c>
      <c r="E6" s="39">
        <f>COMPARATIVO!E39</f>
        <v/>
      </c>
      <c r="F6" s="39">
        <f>COMPARATIVO!F39</f>
        <v/>
      </c>
      <c r="G6" s="39">
        <f>COMPARATIVO!G39</f>
        <v/>
      </c>
      <c r="H6" s="39">
        <f>COMPARATIVO!H39</f>
        <v/>
      </c>
      <c r="I6" s="39">
        <f>COMPARATIVO!I39</f>
        <v/>
      </c>
      <c r="J6" s="39">
        <f>COMPARATIVO!J39</f>
        <v/>
      </c>
      <c r="K6" s="39">
        <f>COMPARATIVO!K39</f>
        <v/>
      </c>
      <c r="L6" s="39">
        <f>COMPARATIVO!L39</f>
        <v/>
      </c>
      <c r="M6" s="39">
        <f>COMPARATIVO!M39</f>
        <v/>
      </c>
      <c r="N6" s="39">
        <f>COMPARATIVO!N39</f>
        <v/>
      </c>
      <c r="O6" s="116" t="inlineStr"/>
      <c r="P6" s="80" t="inlineStr">
        <is>
          <t>Geracao realista no telhado Sudeste</t>
        </is>
      </c>
    </row>
    <row r="7">
      <c r="B7" s="4" t="inlineStr">
        <is>
          <t>Tarifa efetiva (R$/kWh)</t>
        </is>
      </c>
      <c r="C7" s="111">
        <f>ENTRADAS!$C$18</f>
        <v/>
      </c>
      <c r="D7" s="111">
        <f>ENTRADAS!$C$18</f>
        <v/>
      </c>
      <c r="E7" s="111">
        <f>ENTRADAS!$C$18</f>
        <v/>
      </c>
      <c r="F7" s="111">
        <f>ENTRADAS!$C$18</f>
        <v/>
      </c>
      <c r="G7" s="111">
        <f>ENTRADAS!$C$18</f>
        <v/>
      </c>
      <c r="H7" s="111">
        <f>ENTRADAS!$C$18</f>
        <v/>
      </c>
      <c r="I7" s="111">
        <f>ENTRADAS!$C$18</f>
        <v/>
      </c>
      <c r="J7" s="111">
        <f>ENTRADAS!$C$18</f>
        <v/>
      </c>
      <c r="K7" s="111">
        <f>ENTRADAS!$C$18</f>
        <v/>
      </c>
      <c r="L7" s="111">
        <f>ENTRADAS!$C$18</f>
        <v/>
      </c>
      <c r="M7" s="111">
        <f>ENTRADAS!$C$18</f>
        <v/>
      </c>
      <c r="N7" s="111">
        <f>ENTRADAS!$C$18</f>
        <v/>
      </c>
      <c r="O7" s="116" t="inlineStr"/>
      <c r="P7" s="80" t="inlineStr">
        <is>
          <t>R$ 1,0215 - calculado da fatura real de jul/2026</t>
        </is>
      </c>
    </row>
    <row r="8">
      <c r="B8" s="21" t="inlineStr">
        <is>
          <t>CONTA ANUAL SEM SOLAR, COM O BYD (R$)</t>
        </is>
      </c>
      <c r="C8" s="120">
        <f>C5*C7+ENTRADAS!$C$26*12</f>
        <v/>
      </c>
      <c r="D8" s="120">
        <f>D5*D7+ENTRADAS!$C$26*12</f>
        <v/>
      </c>
      <c r="E8" s="120">
        <f>E5*E7+ENTRADAS!$C$26*12</f>
        <v/>
      </c>
      <c r="F8" s="120">
        <f>F5*F7+ENTRADAS!$C$26*12</f>
        <v/>
      </c>
      <c r="G8" s="120">
        <f>G5*G7+ENTRADAS!$C$26*12</f>
        <v/>
      </c>
      <c r="H8" s="120">
        <f>H5*H7+ENTRADAS!$C$26*12</f>
        <v/>
      </c>
      <c r="I8" s="120">
        <f>I5*I7+ENTRADAS!$C$26*12</f>
        <v/>
      </c>
      <c r="J8" s="120">
        <f>J5*J7+ENTRADAS!$C$26*12</f>
        <v/>
      </c>
      <c r="K8" s="120">
        <f>K5*K7+ENTRADAS!$C$26*12</f>
        <v/>
      </c>
      <c r="L8" s="120">
        <f>L5*L7+ENTRADAS!$C$26*12</f>
        <v/>
      </c>
      <c r="M8" s="120">
        <f>M5*M7+ENTRADAS!$C$26*12</f>
        <v/>
      </c>
      <c r="N8" s="120">
        <f>N5*N7+ENTRADAS!$C$26*12</f>
        <v/>
      </c>
      <c r="O8" s="116" t="inlineStr"/>
      <c r="P8" s="80" t="inlineStr">
        <is>
          <t>O cenario que voce enfrenta se nao instalar nada e o carro chegar</t>
        </is>
      </c>
    </row>
    <row r="9">
      <c r="B9" s="4" t="inlineStr">
        <is>
          <t>Autoconsumo instantaneo (kWh)</t>
        </is>
      </c>
      <c r="C9" s="39">
        <f>MIN(C5,C6)*ENTRADAS!$C$37</f>
        <v/>
      </c>
      <c r="D9" s="39">
        <f>MIN(D5,D6)*ENTRADAS!$C$37</f>
        <v/>
      </c>
      <c r="E9" s="39">
        <f>MIN(E5,E6)*ENTRADAS!$C$37</f>
        <v/>
      </c>
      <c r="F9" s="39">
        <f>MIN(F5,F6)*ENTRADAS!$C$37</f>
        <v/>
      </c>
      <c r="G9" s="39">
        <f>MIN(G5,G6)*ENTRADAS!$C$37</f>
        <v/>
      </c>
      <c r="H9" s="39">
        <f>MIN(H5,H6)*ENTRADAS!$C$37</f>
        <v/>
      </c>
      <c r="I9" s="39">
        <f>MIN(I5,I6)*ENTRADAS!$C$37</f>
        <v/>
      </c>
      <c r="J9" s="39">
        <f>MIN(J5,J6)*ENTRADAS!$C$37</f>
        <v/>
      </c>
      <c r="K9" s="39">
        <f>MIN(K5,K6)*ENTRADAS!$C$37</f>
        <v/>
      </c>
      <c r="L9" s="39">
        <f>MIN(L5,L6)*ENTRADAS!$C$37</f>
        <v/>
      </c>
      <c r="M9" s="39">
        <f>MIN(M5,M6)*ENTRADAS!$C$37</f>
        <v/>
      </c>
      <c r="N9" s="39">
        <f>MIN(N5,N6)*ENTRADAS!$C$37</f>
        <v/>
      </c>
      <c r="O9" s="116" t="inlineStr"/>
      <c r="P9" s="80" t="inlineStr">
        <is>
          <t>Usado no instante da geracao: nao passa pelo medidor, nao paga nada</t>
        </is>
      </c>
    </row>
    <row r="10">
      <c r="B10" s="4" t="inlineStr">
        <is>
          <t>Energia injetada na rede (kWh)</t>
        </is>
      </c>
      <c r="C10" s="39">
        <f>C6-C9</f>
        <v/>
      </c>
      <c r="D10" s="39">
        <f>D6-D9</f>
        <v/>
      </c>
      <c r="E10" s="39">
        <f>E6-E9</f>
        <v/>
      </c>
      <c r="F10" s="39">
        <f>F6-F9</f>
        <v/>
      </c>
      <c r="G10" s="39">
        <f>G6-G9</f>
        <v/>
      </c>
      <c r="H10" s="39">
        <f>H6-H9</f>
        <v/>
      </c>
      <c r="I10" s="39">
        <f>I6-I9</f>
        <v/>
      </c>
      <c r="J10" s="39">
        <f>J6-J9</f>
        <v/>
      </c>
      <c r="K10" s="39">
        <f>K6-K9</f>
        <v/>
      </c>
      <c r="L10" s="39">
        <f>L6-L9</f>
        <v/>
      </c>
      <c r="M10" s="39">
        <f>M6-M9</f>
        <v/>
      </c>
      <c r="N10" s="39">
        <f>N6-N9</f>
        <v/>
      </c>
      <c r="O10" s="116" t="inlineStr"/>
      <c r="P10" s="80" t="inlineStr">
        <is>
          <t>Vira credito de energia</t>
        </is>
      </c>
    </row>
    <row r="11">
      <c r="B11" s="4" t="inlineStr">
        <is>
          <t>Consumo minimo faturavel - disponibilidade (kWh)</t>
        </is>
      </c>
      <c r="C11" s="39">
        <f>ENTRADAS!$C$17*12</f>
        <v/>
      </c>
      <c r="D11" s="39">
        <f>ENTRADAS!$C$17*12</f>
        <v/>
      </c>
      <c r="E11" s="39">
        <f>ENTRADAS!$C$17*12</f>
        <v/>
      </c>
      <c r="F11" s="39">
        <f>ENTRADAS!$C$17*12</f>
        <v/>
      </c>
      <c r="G11" s="39">
        <f>ENTRADAS!$C$17*12</f>
        <v/>
      </c>
      <c r="H11" s="39">
        <f>ENTRADAS!$C$17*12</f>
        <v/>
      </c>
      <c r="I11" s="39">
        <f>ENTRADAS!$C$17*12</f>
        <v/>
      </c>
      <c r="J11" s="39">
        <f>ENTRADAS!$C$17*12</f>
        <v/>
      </c>
      <c r="K11" s="39">
        <f>ENTRADAS!$C$17*12</f>
        <v/>
      </c>
      <c r="L11" s="39">
        <f>ENTRADAS!$C$17*12</f>
        <v/>
      </c>
      <c r="M11" s="39">
        <f>ENTRADAS!$C$17*12</f>
        <v/>
      </c>
      <c r="N11" s="39">
        <f>ENTRADAS!$C$17*12</f>
        <v/>
      </c>
      <c r="O11" s="116" t="inlineStr"/>
      <c r="P11" s="80" t="inlineStr">
        <is>
          <t>50 kWh/mes apos virar bifasico. Nunca compensavel</t>
        </is>
      </c>
    </row>
    <row r="12">
      <c r="B12" s="4" t="inlineStr">
        <is>
          <t>Energia compensada com creditos (kWh)</t>
        </is>
      </c>
      <c r="C12" s="39">
        <f>MAX(0,MIN(C10,C5-C9-C11))</f>
        <v/>
      </c>
      <c r="D12" s="39">
        <f>MAX(0,MIN(D10,D5-D9-D11))</f>
        <v/>
      </c>
      <c r="E12" s="39">
        <f>MAX(0,MIN(E10,E5-E9-E11))</f>
        <v/>
      </c>
      <c r="F12" s="39">
        <f>MAX(0,MIN(F10,F5-F9-F11))</f>
        <v/>
      </c>
      <c r="G12" s="39">
        <f>MAX(0,MIN(G10,G5-G9-G11))</f>
        <v/>
      </c>
      <c r="H12" s="39">
        <f>MAX(0,MIN(H10,H5-H9-H11))</f>
        <v/>
      </c>
      <c r="I12" s="39">
        <f>MAX(0,MIN(I10,I5-I9-I11))</f>
        <v/>
      </c>
      <c r="J12" s="39">
        <f>MAX(0,MIN(J10,J5-J9-J11))</f>
        <v/>
      </c>
      <c r="K12" s="39">
        <f>MAX(0,MIN(K10,K5-K9-K11))</f>
        <v/>
      </c>
      <c r="L12" s="39">
        <f>MAX(0,MIN(L10,L5-L9-L11))</f>
        <v/>
      </c>
      <c r="M12" s="39">
        <f>MAX(0,MIN(M10,M5-M9-M11))</f>
        <v/>
      </c>
      <c r="N12" s="39">
        <f>MAX(0,MIN(N10,N5-N9-N11))</f>
        <v/>
      </c>
      <c r="O12" s="116" t="inlineStr"/>
      <c r="P12" s="80" t="inlineStr">
        <is>
          <t>Limitada pelo consumo restante apos autoconsumo e disponibilidade</t>
        </is>
      </c>
    </row>
    <row r="13">
      <c r="B13" s="4" t="inlineStr">
        <is>
          <t>Excedente que nao sera aproveitado (kWh)</t>
        </is>
      </c>
      <c r="C13" s="39">
        <f>C10-C12</f>
        <v/>
      </c>
      <c r="D13" s="39">
        <f>D10-D12</f>
        <v/>
      </c>
      <c r="E13" s="39">
        <f>E10-E12</f>
        <v/>
      </c>
      <c r="F13" s="39">
        <f>F10-F12</f>
        <v/>
      </c>
      <c r="G13" s="39">
        <f>G10-G12</f>
        <v/>
      </c>
      <c r="H13" s="39">
        <f>H10-H12</f>
        <v/>
      </c>
      <c r="I13" s="39">
        <f>I10-I12</f>
        <v/>
      </c>
      <c r="J13" s="39">
        <f>J10-J12</f>
        <v/>
      </c>
      <c r="K13" s="39">
        <f>K10-K12</f>
        <v/>
      </c>
      <c r="L13" s="39">
        <f>L10-L12</f>
        <v/>
      </c>
      <c r="M13" s="39">
        <f>M10-M12</f>
        <v/>
      </c>
      <c r="N13" s="39">
        <f>N10-N12</f>
        <v/>
      </c>
      <c r="O13" s="116" t="inlineStr"/>
      <c r="P13" s="80" t="inlineStr">
        <is>
          <t>Credito com prazo de 60 meses. Sobredimensionar e desperdicio</t>
        </is>
      </c>
    </row>
    <row r="14">
      <c r="B14" s="4" t="inlineStr">
        <is>
          <t>Energia ainda comprada da rede (kWh)</t>
        </is>
      </c>
      <c r="C14" s="39">
        <f>MAX(C11,C5-C9-C12)</f>
        <v/>
      </c>
      <c r="D14" s="39">
        <f>MAX(D11,D5-D9-D12)</f>
        <v/>
      </c>
      <c r="E14" s="39">
        <f>MAX(E11,E5-E9-E12)</f>
        <v/>
      </c>
      <c r="F14" s="39">
        <f>MAX(F11,F5-F9-F12)</f>
        <v/>
      </c>
      <c r="G14" s="39">
        <f>MAX(G11,G5-G9-G12)</f>
        <v/>
      </c>
      <c r="H14" s="39">
        <f>MAX(H11,H5-H9-H12)</f>
        <v/>
      </c>
      <c r="I14" s="39">
        <f>MAX(I11,I5-I9-I12)</f>
        <v/>
      </c>
      <c r="J14" s="39">
        <f>MAX(J11,J5-J9-J12)</f>
        <v/>
      </c>
      <c r="K14" s="39">
        <f>MAX(K11,K5-K9-K12)</f>
        <v/>
      </c>
      <c r="L14" s="39">
        <f>MAX(L11,L5-L9-L12)</f>
        <v/>
      </c>
      <c r="M14" s="39">
        <f>MAX(M11,M5-M9-M12)</f>
        <v/>
      </c>
      <c r="N14" s="39">
        <f>MAX(N11,N5-N9-N12)</f>
        <v/>
      </c>
      <c r="O14" s="116" t="inlineStr"/>
      <c r="P14" s="80" t="inlineStr">
        <is>
          <t>O que continua sendo faturado</t>
        </is>
      </c>
    </row>
    <row r="15">
      <c r="B15" s="4" t="inlineStr">
        <is>
          <t>Custo da energia comprada (R$)</t>
        </is>
      </c>
      <c r="C15" s="111">
        <f>C14*C7</f>
        <v/>
      </c>
      <c r="D15" s="111">
        <f>D14*D7</f>
        <v/>
      </c>
      <c r="E15" s="111">
        <f>E14*E7</f>
        <v/>
      </c>
      <c r="F15" s="111">
        <f>F14*F7</f>
        <v/>
      </c>
      <c r="G15" s="111">
        <f>G14*G7</f>
        <v/>
      </c>
      <c r="H15" s="111">
        <f>H14*H7</f>
        <v/>
      </c>
      <c r="I15" s="111">
        <f>I14*I7</f>
        <v/>
      </c>
      <c r="J15" s="111">
        <f>J14*J7</f>
        <v/>
      </c>
      <c r="K15" s="111">
        <f>K14*K7</f>
        <v/>
      </c>
      <c r="L15" s="111">
        <f>L14*L7</f>
        <v/>
      </c>
      <c r="M15" s="111">
        <f>M14*M7</f>
        <v/>
      </c>
      <c r="N15" s="111">
        <f>N14*N7</f>
        <v/>
      </c>
      <c r="O15" s="116" t="inlineStr"/>
      <c r="P15" s="80" t="inlineStr"/>
    </row>
    <row r="16">
      <c r="B16" s="4" t="inlineStr">
        <is>
          <t>Custo do Fio B sobre a energia compensada (R$)</t>
        </is>
      </c>
      <c r="C16" s="111">
        <f>C12*ENTRADAS!$C$25</f>
        <v/>
      </c>
      <c r="D16" s="111">
        <f>D12*ENTRADAS!$C$25</f>
        <v/>
      </c>
      <c r="E16" s="111">
        <f>E12*ENTRADAS!$C$25</f>
        <v/>
      </c>
      <c r="F16" s="111">
        <f>F12*ENTRADAS!$C$25</f>
        <v/>
      </c>
      <c r="G16" s="111">
        <f>G12*ENTRADAS!$C$25</f>
        <v/>
      </c>
      <c r="H16" s="111">
        <f>H12*ENTRADAS!$C$25</f>
        <v/>
      </c>
      <c r="I16" s="111">
        <f>I12*ENTRADAS!$C$25</f>
        <v/>
      </c>
      <c r="J16" s="111">
        <f>J12*ENTRADAS!$C$25</f>
        <v/>
      </c>
      <c r="K16" s="111">
        <f>K12*ENTRADAS!$C$25</f>
        <v/>
      </c>
      <c r="L16" s="111">
        <f>L12*ENTRADAS!$C$25</f>
        <v/>
      </c>
      <c r="M16" s="111">
        <f>M12*ENTRADAS!$C$25</f>
        <v/>
      </c>
      <c r="N16" s="111">
        <f>N12*ENTRADAS!$C$25</f>
        <v/>
      </c>
      <c r="O16" s="116" t="inlineStr"/>
      <c r="P16" s="80" t="inlineStr">
        <is>
          <t>Lei 14.300: 60% da TUSD Fio B em 2026, 100% a partir de 2029</t>
        </is>
      </c>
    </row>
    <row r="17">
      <c r="B17" s="4" t="inlineStr">
        <is>
          <t>COSIP / iluminacao publica (R$)</t>
        </is>
      </c>
      <c r="C17" s="111">
        <f>ENTRADAS!$C$26*12</f>
        <v/>
      </c>
      <c r="D17" s="111">
        <f>ENTRADAS!$C$26*12</f>
        <v/>
      </c>
      <c r="E17" s="111">
        <f>ENTRADAS!$C$26*12</f>
        <v/>
      </c>
      <c r="F17" s="111">
        <f>ENTRADAS!$C$26*12</f>
        <v/>
      </c>
      <c r="G17" s="111">
        <f>ENTRADAS!$C$26*12</f>
        <v/>
      </c>
      <c r="H17" s="111">
        <f>ENTRADAS!$C$26*12</f>
        <v/>
      </c>
      <c r="I17" s="111">
        <f>ENTRADAS!$C$26*12</f>
        <v/>
      </c>
      <c r="J17" s="111">
        <f>ENTRADAS!$C$26*12</f>
        <v/>
      </c>
      <c r="K17" s="111">
        <f>ENTRADAS!$C$26*12</f>
        <v/>
      </c>
      <c r="L17" s="111">
        <f>ENTRADAS!$C$26*12</f>
        <v/>
      </c>
      <c r="M17" s="111">
        <f>ENTRADAS!$C$26*12</f>
        <v/>
      </c>
      <c r="N17" s="111">
        <f>ENTRADAS!$C$26*12</f>
        <v/>
      </c>
      <c r="O17" s="116" t="inlineStr"/>
      <c r="P17" s="80" t="inlineStr">
        <is>
          <t>R$ 21,11 por mes. A geracao nao afeta</t>
        </is>
      </c>
    </row>
    <row r="18">
      <c r="B18" s="21" t="inlineStr">
        <is>
          <t>CONTA ANUAL COM SOLAR (R$)</t>
        </is>
      </c>
      <c r="C18" s="50">
        <f>C15+C16+C17</f>
        <v/>
      </c>
      <c r="D18" s="50">
        <f>D15+D16+D17</f>
        <v/>
      </c>
      <c r="E18" s="50">
        <f>E15+E16+E17</f>
        <v/>
      </c>
      <c r="F18" s="50">
        <f>F15+F16+F17</f>
        <v/>
      </c>
      <c r="G18" s="50">
        <f>G15+G16+G17</f>
        <v/>
      </c>
      <c r="H18" s="50">
        <f>H15+H16+H17</f>
        <v/>
      </c>
      <c r="I18" s="50">
        <f>I15+I16+I17</f>
        <v/>
      </c>
      <c r="J18" s="50">
        <f>J15+J16+J17</f>
        <v/>
      </c>
      <c r="K18" s="50">
        <f>K15+K16+K17</f>
        <v/>
      </c>
      <c r="L18" s="50">
        <f>L15+L16+L17</f>
        <v/>
      </c>
      <c r="M18" s="50">
        <f>M15+M16+M17</f>
        <v/>
      </c>
      <c r="N18" s="50">
        <f>N15+N16+N17</f>
        <v/>
      </c>
      <c r="O18" s="116" t="inlineStr"/>
      <c r="P18" s="80" t="inlineStr">
        <is>
          <t>O que voce continuara pagando por ano</t>
        </is>
      </c>
    </row>
    <row r="19">
      <c r="B19" s="21" t="inlineStr">
        <is>
          <t>CONTA MEDIA MENSAL COM SOLAR (R$)</t>
        </is>
      </c>
      <c r="C19" s="50">
        <f>C18/12</f>
        <v/>
      </c>
      <c r="D19" s="50">
        <f>D18/12</f>
        <v/>
      </c>
      <c r="E19" s="50">
        <f>E18/12</f>
        <v/>
      </c>
      <c r="F19" s="50">
        <f>F18/12</f>
        <v/>
      </c>
      <c r="G19" s="50">
        <f>G18/12</f>
        <v/>
      </c>
      <c r="H19" s="50">
        <f>H18/12</f>
        <v/>
      </c>
      <c r="I19" s="50">
        <f>I18/12</f>
        <v/>
      </c>
      <c r="J19" s="50">
        <f>J18/12</f>
        <v/>
      </c>
      <c r="K19" s="50">
        <f>K18/12</f>
        <v/>
      </c>
      <c r="L19" s="50">
        <f>L18/12</f>
        <v/>
      </c>
      <c r="M19" s="50">
        <f>M18/12</f>
        <v/>
      </c>
      <c r="N19" s="50">
        <f>N18/12</f>
        <v/>
      </c>
      <c r="O19" s="116" t="inlineStr"/>
      <c r="P19" s="80" t="inlineStr">
        <is>
          <t>A prova de que nao existe conta de R$ 0</t>
        </is>
      </c>
    </row>
    <row r="20">
      <c r="B20" s="4" t="inlineStr">
        <is>
          <t>Reducao da conta</t>
        </is>
      </c>
      <c r="C20" s="40">
        <f>IFERROR(1-C18/C8,0)</f>
        <v/>
      </c>
      <c r="D20" s="40">
        <f>IFERROR(1-D18/D8,0)</f>
        <v/>
      </c>
      <c r="E20" s="40">
        <f>IFERROR(1-E18/E8,0)</f>
        <v/>
      </c>
      <c r="F20" s="40">
        <f>IFERROR(1-F18/F8,0)</f>
        <v/>
      </c>
      <c r="G20" s="40">
        <f>IFERROR(1-G18/G8,0)</f>
        <v/>
      </c>
      <c r="H20" s="40">
        <f>IFERROR(1-H18/H8,0)</f>
        <v/>
      </c>
      <c r="I20" s="40">
        <f>IFERROR(1-I18/I8,0)</f>
        <v/>
      </c>
      <c r="J20" s="40">
        <f>IFERROR(1-J18/J8,0)</f>
        <v/>
      </c>
      <c r="K20" s="40">
        <f>IFERROR(1-K18/K8,0)</f>
        <v/>
      </c>
      <c r="L20" s="40">
        <f>IFERROR(1-L18/L8,0)</f>
        <v/>
      </c>
      <c r="M20" s="40">
        <f>IFERROR(1-M18/M8,0)</f>
        <v/>
      </c>
      <c r="N20" s="40">
        <f>IFERROR(1-N18/N8,0)</f>
        <v/>
      </c>
      <c r="O20" s="116" t="inlineStr"/>
      <c r="P20" s="80" t="inlineStr"/>
    </row>
    <row r="21">
      <c r="B21" s="4" t="inlineStr">
        <is>
          <t>Economia bruta anual (R$)</t>
        </is>
      </c>
      <c r="C21" s="111">
        <f>C8-C18</f>
        <v/>
      </c>
      <c r="D21" s="111">
        <f>D8-D18</f>
        <v/>
      </c>
      <c r="E21" s="111">
        <f>E8-E18</f>
        <v/>
      </c>
      <c r="F21" s="111">
        <f>F8-F18</f>
        <v/>
      </c>
      <c r="G21" s="111">
        <f>G8-G18</f>
        <v/>
      </c>
      <c r="H21" s="111">
        <f>H8-H18</f>
        <v/>
      </c>
      <c r="I21" s="111">
        <f>I8-I18</f>
        <v/>
      </c>
      <c r="J21" s="111">
        <f>J8-J18</f>
        <v/>
      </c>
      <c r="K21" s="111">
        <f>K8-K18</f>
        <v/>
      </c>
      <c r="L21" s="111">
        <f>L8-L18</f>
        <v/>
      </c>
      <c r="M21" s="111">
        <f>M8-M18</f>
        <v/>
      </c>
      <c r="N21" s="111">
        <f>N8-N18</f>
        <v/>
      </c>
      <c r="O21" s="116" t="inlineStr"/>
      <c r="P21" s="80" t="inlineStr"/>
    </row>
    <row r="22">
      <c r="B22" s="4" t="inlineStr">
        <is>
          <t>Manutencao e limpeza (R$/ano)</t>
        </is>
      </c>
      <c r="C22" s="111">
        <f>ENTRADAS!$C$35</f>
        <v/>
      </c>
      <c r="D22" s="111">
        <f>ENTRADAS!$C$35</f>
        <v/>
      </c>
      <c r="E22" s="111">
        <f>ENTRADAS!$C$35</f>
        <v/>
      </c>
      <c r="F22" s="111">
        <f>ENTRADAS!$C$35</f>
        <v/>
      </c>
      <c r="G22" s="111">
        <f>ENTRADAS!$C$35</f>
        <v/>
      </c>
      <c r="H22" s="111">
        <f>ENTRADAS!$C$35</f>
        <v/>
      </c>
      <c r="I22" s="111">
        <f>ENTRADAS!$C$35</f>
        <v/>
      </c>
      <c r="J22" s="111">
        <f>ENTRADAS!$C$35</f>
        <v/>
      </c>
      <c r="K22" s="111">
        <f>ENTRADAS!$C$35</f>
        <v/>
      </c>
      <c r="L22" s="111">
        <f>ENTRADAS!$C$35</f>
        <v/>
      </c>
      <c r="M22" s="111">
        <f>ENTRADAS!$C$35</f>
        <v/>
      </c>
      <c r="N22" s="111">
        <f>ENTRADAS!$C$35</f>
        <v/>
      </c>
      <c r="O22" s="116" t="inlineStr"/>
      <c r="P22" s="80" t="inlineStr">
        <is>
          <t>Custo recorrente real</t>
        </is>
      </c>
    </row>
    <row r="23">
      <c r="B23" s="4" t="inlineStr">
        <is>
          <t>Provisao para troca do inversor (R$/ano)</t>
        </is>
      </c>
      <c r="C23" s="111">
        <f>ENTRADAS!$C$36</f>
        <v/>
      </c>
      <c r="D23" s="111">
        <f>ENTRADAS!$C$36</f>
        <v/>
      </c>
      <c r="E23" s="111">
        <f>ENTRADAS!$C$36</f>
        <v/>
      </c>
      <c r="F23" s="111">
        <f>ENTRADAS!$C$36</f>
        <v/>
      </c>
      <c r="G23" s="111">
        <f>ENTRADAS!$C$36</f>
        <v/>
      </c>
      <c r="H23" s="111">
        <f>ENTRADAS!$C$36</f>
        <v/>
      </c>
      <c r="I23" s="111">
        <f>ENTRADAS!$C$36</f>
        <v/>
      </c>
      <c r="J23" s="111">
        <f>ENTRADAS!$C$36</f>
        <v/>
      </c>
      <c r="K23" s="111">
        <f>ENTRADAS!$C$36</f>
        <v/>
      </c>
      <c r="L23" s="111">
        <f>ENTRADAS!$C$36</f>
        <v/>
      </c>
      <c r="M23" s="111">
        <f>ENTRADAS!$C$36</f>
        <v/>
      </c>
      <c r="N23" s="111">
        <f>ENTRADAS!$C$36</f>
        <v/>
      </c>
      <c r="O23" s="116" t="inlineStr"/>
      <c r="P23" s="80" t="inlineStr">
        <is>
          <t>O inversor nao dura os 25 anos do modulo</t>
        </is>
      </c>
    </row>
    <row r="24">
      <c r="B24" s="4" t="inlineStr">
        <is>
          <t>Reservado</t>
        </is>
      </c>
      <c r="C24" s="111">
        <f>0</f>
        <v/>
      </c>
      <c r="D24" s="111">
        <f>0</f>
        <v/>
      </c>
      <c r="E24" s="111">
        <f>0</f>
        <v/>
      </c>
      <c r="F24" s="111">
        <f>0</f>
        <v/>
      </c>
      <c r="G24" s="111">
        <f>0</f>
        <v/>
      </c>
      <c r="H24" s="111">
        <f>0</f>
        <v/>
      </c>
      <c r="I24" s="111">
        <f>0</f>
        <v/>
      </c>
      <c r="J24" s="111">
        <f>0</f>
        <v/>
      </c>
      <c r="K24" s="111">
        <f>0</f>
        <v/>
      </c>
      <c r="L24" s="111">
        <f>0</f>
        <v/>
      </c>
      <c r="M24" s="111">
        <f>0</f>
        <v/>
      </c>
      <c r="N24" s="111">
        <f>0</f>
        <v/>
      </c>
      <c r="O24" s="116" t="inlineStr"/>
      <c r="P24" s="80" t="inlineStr">
        <is>
          <t>Degradacao ja tratada no fator de geracao da aba PROJECAO</t>
        </is>
      </c>
    </row>
    <row r="25">
      <c r="B25" s="4" t="inlineStr">
        <is>
          <t>Subtotal de custos recorrentes (R$)</t>
        </is>
      </c>
      <c r="C25" s="111">
        <f>C22+C23</f>
        <v/>
      </c>
      <c r="D25" s="111">
        <f>D22+D23</f>
        <v/>
      </c>
      <c r="E25" s="111">
        <f>E22+E23</f>
        <v/>
      </c>
      <c r="F25" s="111">
        <f>F22+F23</f>
        <v/>
      </c>
      <c r="G25" s="111">
        <f>G22+G23</f>
        <v/>
      </c>
      <c r="H25" s="111">
        <f>H22+H23</f>
        <v/>
      </c>
      <c r="I25" s="111">
        <f>I22+I23</f>
        <v/>
      </c>
      <c r="J25" s="111">
        <f>J22+J23</f>
        <v/>
      </c>
      <c r="K25" s="111">
        <f>K22+K23</f>
        <v/>
      </c>
      <c r="L25" s="111">
        <f>L22+L23</f>
        <v/>
      </c>
      <c r="M25" s="111">
        <f>M22+M23</f>
        <v/>
      </c>
      <c r="N25" s="111">
        <f>N22+N23</f>
        <v/>
      </c>
      <c r="O25" s="116" t="inlineStr"/>
      <c r="P25" s="80" t="inlineStr"/>
    </row>
    <row r="26">
      <c r="B26" s="21" t="inlineStr">
        <is>
          <t>ECONOMIA LIQUIDA NO ANO 1 (R$)</t>
        </is>
      </c>
      <c r="C26" s="121">
        <f>C21-C25</f>
        <v/>
      </c>
      <c r="D26" s="121">
        <f>D21-D25</f>
        <v/>
      </c>
      <c r="E26" s="121">
        <f>E21-E25</f>
        <v/>
      </c>
      <c r="F26" s="121">
        <f>F21-F25</f>
        <v/>
      </c>
      <c r="G26" s="121">
        <f>G21-G25</f>
        <v/>
      </c>
      <c r="H26" s="121">
        <f>H21-H25</f>
        <v/>
      </c>
      <c r="I26" s="121">
        <f>I21-I25</f>
        <v/>
      </c>
      <c r="J26" s="121">
        <f>J21-J25</f>
        <v/>
      </c>
      <c r="K26" s="121">
        <f>K21-K25</f>
        <v/>
      </c>
      <c r="L26" s="121">
        <f>L21-L25</f>
        <v/>
      </c>
      <c r="M26" s="121">
        <f>M21-M25</f>
        <v/>
      </c>
      <c r="N26" s="121">
        <f>N21-N25</f>
        <v/>
      </c>
      <c r="O26" s="116" t="inlineStr"/>
      <c r="P26" s="80" t="inlineStr">
        <is>
          <t>Base do payback e da projecao de 20 anos</t>
        </is>
      </c>
    </row>
    <row r="28">
      <c r="B28" s="7" t="inlineStr">
        <is>
          <t>SIMULACAO SEM CARRO x COM CARRO (impacto isolado do BYD)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B29" s="4" t="inlineStr">
        <is>
          <t>Consumo anual SEM o BYD (kWh)</t>
        </is>
      </c>
      <c r="C29" s="12">
        <f>BYD!$F$33*12</f>
        <v/>
      </c>
      <c r="P29" s="2" t="inlineStr">
        <is>
          <t>Media real da conta x 12</t>
        </is>
      </c>
    </row>
    <row r="30">
      <c r="B30" s="4" t="inlineStr">
        <is>
          <t>Consumo anual COM o BYD (kWh)</t>
        </is>
      </c>
      <c r="C30" s="12">
        <f>BYD!$F$34*12</f>
        <v/>
      </c>
      <c r="P30" s="2" t="inlineStr">
        <is>
          <t>Cenario 2</t>
        </is>
      </c>
    </row>
    <row r="31">
      <c r="B31" s="4" t="inlineStr">
        <is>
          <t>Acrescimo de consumo causado pelo BYD (kWh/ano)</t>
        </is>
      </c>
      <c r="C31" s="12">
        <f>C30-C29</f>
        <v/>
      </c>
      <c r="P31" s="2" t="inlineStr">
        <is>
          <t>Inclui as perdas de carregamento</t>
        </is>
      </c>
    </row>
    <row r="32">
      <c r="B32" s="4" t="inlineStr">
        <is>
          <t>Acrescimo percentual sobre o consumo atual</t>
        </is>
      </c>
      <c r="C32" s="30">
        <f>IFERROR(C30/C29-1,0)</f>
        <v/>
      </c>
      <c r="P32" s="2" t="inlineStr">
        <is>
          <t>Por isso a media da conta nao serve de base</t>
        </is>
      </c>
    </row>
    <row r="33">
      <c r="B33" s="4" t="inlineStr">
        <is>
          <t>Conta anual SEM solar e SEM o BYD (R$)</t>
        </is>
      </c>
      <c r="C33" s="15">
        <f>C29*ENTRADAS!C18+ENTRADAS!C26*12</f>
        <v/>
      </c>
      <c r="P33" s="2" t="inlineStr">
        <is>
          <t>Sua situacao de hoje</t>
        </is>
      </c>
    </row>
    <row r="34">
      <c r="B34" s="4" t="inlineStr">
        <is>
          <t>Conta anual SEM solar e COM o BYD (R$)</t>
        </is>
      </c>
      <c r="C34" s="15">
        <f>C30*ENTRADAS!C18+ENTRADAS!C26*12</f>
        <v/>
      </c>
      <c r="P34" s="2" t="inlineStr">
        <is>
          <t>O carro sozinho encarece a conta neste valor</t>
        </is>
      </c>
    </row>
    <row r="35">
      <c r="B35" s="4" t="inlineStr">
        <is>
          <t>Custo anual so do BYD sem energia solar (R$)</t>
        </is>
      </c>
      <c r="C35" s="15">
        <f>C31*ENTRADAS!C18</f>
        <v/>
      </c>
      <c r="P35" s="2" t="inlineStr">
        <is>
          <t>Na tarifa cheia</t>
        </is>
      </c>
    </row>
    <row r="36">
      <c r="B36" s="4" t="inlineStr">
        <is>
          <t>Custo anual so do BYD com energia solar (R$)</t>
        </is>
      </c>
      <c r="C36" s="15">
        <f>C31*ENTRADAS!C25</f>
        <v/>
      </c>
      <c r="P36" s="2" t="inlineStr">
        <is>
          <t>Compensado: paga-se apenas o Fio B</t>
        </is>
      </c>
    </row>
    <row r="37">
      <c r="B37" s="21" t="inlineStr">
        <is>
          <t>ECONOMIA ANUAL SO NO CARREGAMENTO DO BYD (R$)</t>
        </is>
      </c>
      <c r="C37" s="23">
        <f>C35-C36</f>
        <v/>
      </c>
      <c r="P37" s="2" t="inlineStr">
        <is>
          <t>O melhor retorno marginal do projeto</t>
        </is>
      </c>
    </row>
    <row r="38">
      <c r="B38" s="4" t="inlineStr">
        <is>
          <t>Numero de placas de 615 W dedicadas ao BYD</t>
        </is>
      </c>
      <c r="C38" s="12">
        <f>IFERROR(ROUNDUP(C31/GERACAO!I17*1000/615,0),0)</f>
        <v/>
      </c>
      <c r="P38" s="2" t="inlineStr">
        <is>
          <t>Placas que existem por causa do carro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</cols>
  <sheetData>
    <row r="1">
      <c r="A1" s="1" t="inlineStr">
        <is>
          <t>PROJECAO DE 20 ANOS, ECONOMIA ACUMULADA E PAYBACK</t>
        </is>
      </c>
    </row>
    <row r="2">
      <c r="A2" s="2" t="inlineStr">
        <is>
          <t>Economia do ano 1 corrigida por inflacao energetica e degradacao, menos O&amp;M. 'Fluxo' = acumulado menos o investimento; fica positivo no ano do payback.</t>
        </is>
      </c>
    </row>
    <row r="4" ht="46" customHeight="1">
      <c r="B4" s="17" t="inlineStr">
        <is>
          <t>Ano</t>
        </is>
      </c>
      <c r="C4" s="17" t="inlineStr">
        <is>
          <t>Fator geracao</t>
        </is>
      </c>
      <c r="D4" s="17" t="inlineStr">
        <is>
          <t>A) TecSolarSP
Economia</t>
        </is>
      </c>
      <c r="E4" s="17" t="inlineStr">
        <is>
          <t>A) TecSolarSP
Acumulado</t>
        </is>
      </c>
      <c r="F4" s="17" t="inlineStr">
        <is>
          <t>A) TecSolarSP
Fluxo</t>
        </is>
      </c>
      <c r="G4" s="17" t="inlineStr">
        <is>
          <t>B) TecSolarSP
Economia</t>
        </is>
      </c>
      <c r="H4" s="17" t="inlineStr">
        <is>
          <t>B) TecSolarSP
Acumulado</t>
        </is>
      </c>
      <c r="I4" s="17" t="inlineStr">
        <is>
          <t>B) TecSolarSP
Fluxo</t>
        </is>
      </c>
      <c r="J4" s="17" t="inlineStr">
        <is>
          <t>C) SunWash
Economia</t>
        </is>
      </c>
      <c r="K4" s="17" t="inlineStr">
        <is>
          <t>C) SunWash
Acumulado</t>
        </is>
      </c>
      <c r="L4" s="17" t="inlineStr">
        <is>
          <t>C) SunWash
Fluxo</t>
        </is>
      </c>
      <c r="M4" s="17" t="inlineStr">
        <is>
          <t>D) SunWash
Economia</t>
        </is>
      </c>
      <c r="N4" s="17" t="inlineStr">
        <is>
          <t>D) SunWash
Acumulado</t>
        </is>
      </c>
      <c r="O4" s="17" t="inlineStr">
        <is>
          <t>D) SunWash
Fluxo</t>
        </is>
      </c>
      <c r="P4" s="17" t="inlineStr">
        <is>
          <t>E) William
Economia</t>
        </is>
      </c>
      <c r="Q4" s="17" t="inlineStr">
        <is>
          <t>E) William
Acumulado</t>
        </is>
      </c>
      <c r="R4" s="17" t="inlineStr">
        <is>
          <t>E) William
Fluxo</t>
        </is>
      </c>
      <c r="S4" s="17" t="inlineStr">
        <is>
          <t>F) Sun Coast v1
Economia</t>
        </is>
      </c>
      <c r="T4" s="17" t="inlineStr">
        <is>
          <t>F) Sun Coast v1
Acumulado</t>
        </is>
      </c>
      <c r="U4" s="17" t="inlineStr">
        <is>
          <t>F) Sun Coast v1
Fluxo</t>
        </is>
      </c>
      <c r="V4" s="17" t="inlineStr">
        <is>
          <t>G) SunWash
Economia</t>
        </is>
      </c>
      <c r="W4" s="17" t="inlineStr">
        <is>
          <t>G) SunWash
Acumulado</t>
        </is>
      </c>
      <c r="X4" s="17" t="inlineStr">
        <is>
          <t>G) SunWash
Fluxo</t>
        </is>
      </c>
      <c r="Y4" s="17" t="inlineStr">
        <is>
          <t>H) Sfero (Renato)
Economia</t>
        </is>
      </c>
      <c r="Z4" s="17" t="inlineStr">
        <is>
          <t>H) Sfero (Renato)
Acumulado</t>
        </is>
      </c>
      <c r="AA4" s="17" t="inlineStr">
        <is>
          <t>H) Sfero (Renato)
Fluxo</t>
        </is>
      </c>
      <c r="AB4" s="17" t="inlineStr">
        <is>
          <t>I) Sun Coast v2
Economia</t>
        </is>
      </c>
      <c r="AC4" s="17" t="inlineStr">
        <is>
          <t>I) Sun Coast v2
Acumulado</t>
        </is>
      </c>
      <c r="AD4" s="17" t="inlineStr">
        <is>
          <t>I) Sun Coast v2
Fluxo</t>
        </is>
      </c>
      <c r="AE4" s="17" t="inlineStr">
        <is>
          <t>J) AD BioSolar
Economia</t>
        </is>
      </c>
      <c r="AF4" s="17" t="inlineStr">
        <is>
          <t>J) AD BioSolar
Acumulado</t>
        </is>
      </c>
      <c r="AG4" s="17" t="inlineStr">
        <is>
          <t>J) AD BioSolar
Fluxo</t>
        </is>
      </c>
      <c r="AH4" s="17" t="inlineStr">
        <is>
          <t>SIMULACAO G12
Economia</t>
        </is>
      </c>
      <c r="AI4" s="17" t="inlineStr">
        <is>
          <t>SIMULACAO G12
Acumulado</t>
        </is>
      </c>
      <c r="AJ4" s="17" t="inlineStr">
        <is>
          <t>SIMULACAO G12
Fluxo</t>
        </is>
      </c>
      <c r="AK4" s="17" t="inlineStr">
        <is>
          <t>SIMULACAO G14
Economia</t>
        </is>
      </c>
      <c r="AL4" s="17" t="inlineStr">
        <is>
          <t>SIMULACAO G14
Acumulado</t>
        </is>
      </c>
      <c r="AM4" s="17" t="inlineStr">
        <is>
          <t>SIMULACAO G14
Fluxo</t>
        </is>
      </c>
    </row>
    <row r="6">
      <c r="B6" s="122" t="n">
        <v>1</v>
      </c>
      <c r="C6" s="40">
        <f>(1-ENTRADAS!$C$33)*(1-ENTRADAS!$C$34)^(1-1)</f>
        <v/>
      </c>
      <c r="D6" s="123">
        <f>ECONOMIA!C$26*C6/$C$6*(1+ENTRADAS!$C$27)^(1-1)</f>
        <v/>
      </c>
      <c r="E6" s="123">
        <f>D6</f>
        <v/>
      </c>
      <c r="F6" s="123">
        <f>E6-COMPARATIVO!C$34</f>
        <v/>
      </c>
      <c r="G6" s="123">
        <f>ECONOMIA!D$26*C6/$C$6*(1+ENTRADAS!$C$27)^(1-1)</f>
        <v/>
      </c>
      <c r="H6" s="123">
        <f>G6</f>
        <v/>
      </c>
      <c r="I6" s="123">
        <f>H6-COMPARATIVO!D$34</f>
        <v/>
      </c>
      <c r="J6" s="123">
        <f>ECONOMIA!E$26*C6/$C$6*(1+ENTRADAS!$C$27)^(1-1)</f>
        <v/>
      </c>
      <c r="K6" s="123">
        <f>J6</f>
        <v/>
      </c>
      <c r="L6" s="123">
        <f>K6-COMPARATIVO!E$34</f>
        <v/>
      </c>
      <c r="M6" s="123">
        <f>ECONOMIA!F$26*C6/$C$6*(1+ENTRADAS!$C$27)^(1-1)</f>
        <v/>
      </c>
      <c r="N6" s="123">
        <f>M6</f>
        <v/>
      </c>
      <c r="O6" s="123">
        <f>N6-COMPARATIVO!F$34</f>
        <v/>
      </c>
      <c r="P6" s="123">
        <f>ECONOMIA!G$26*C6/$C$6*(1+ENTRADAS!$C$27)^(1-1)</f>
        <v/>
      </c>
      <c r="Q6" s="123">
        <f>P6</f>
        <v/>
      </c>
      <c r="R6" s="123">
        <f>Q6-COMPARATIVO!G$34</f>
        <v/>
      </c>
      <c r="S6" s="123">
        <f>ECONOMIA!H$26*C6/$C$6*(1+ENTRADAS!$C$27)^(1-1)</f>
        <v/>
      </c>
      <c r="T6" s="123">
        <f>S6</f>
        <v/>
      </c>
      <c r="U6" s="123">
        <f>T6-COMPARATIVO!H$34</f>
        <v/>
      </c>
      <c r="V6" s="123">
        <f>ECONOMIA!I$26*C6/$C$6*(1+ENTRADAS!$C$27)^(1-1)</f>
        <v/>
      </c>
      <c r="W6" s="123">
        <f>V6</f>
        <v/>
      </c>
      <c r="X6" s="123">
        <f>W6-COMPARATIVO!I$34</f>
        <v/>
      </c>
      <c r="Y6" s="123">
        <f>ECONOMIA!J$26*C6/$C$6*(1+ENTRADAS!$C$27)^(1-1)</f>
        <v/>
      </c>
      <c r="Z6" s="123">
        <f>Y6</f>
        <v/>
      </c>
      <c r="AA6" s="123">
        <f>Z6-COMPARATIVO!J$34</f>
        <v/>
      </c>
      <c r="AB6" s="123">
        <f>ECONOMIA!K$26*C6/$C$6*(1+ENTRADAS!$C$27)^(1-1)</f>
        <v/>
      </c>
      <c r="AC6" s="123">
        <f>AB6</f>
        <v/>
      </c>
      <c r="AD6" s="123">
        <f>AC6-COMPARATIVO!K$34</f>
        <v/>
      </c>
      <c r="AE6" s="123">
        <f>ECONOMIA!L$26*C6/$C$6*(1+ENTRADAS!$C$27)^(1-1)</f>
        <v/>
      </c>
      <c r="AF6" s="123">
        <f>AE6</f>
        <v/>
      </c>
      <c r="AG6" s="123">
        <f>AF6-COMPARATIVO!L$34</f>
        <v/>
      </c>
      <c r="AH6" s="123">
        <f>ECONOMIA!M$26*C6/$C$6*(1+ENTRADAS!$C$27)^(1-1)</f>
        <v/>
      </c>
      <c r="AI6" s="123">
        <f>AH6</f>
        <v/>
      </c>
      <c r="AJ6" s="123">
        <f>AI6-COMPARATIVO!M$34</f>
        <v/>
      </c>
      <c r="AK6" s="123">
        <f>ECONOMIA!N$26*C6/$C$6*(1+ENTRADAS!$C$27)^(1-1)</f>
        <v/>
      </c>
      <c r="AL6" s="123">
        <f>AK6</f>
        <v/>
      </c>
      <c r="AM6" s="123">
        <f>AL6-COMPARATIVO!N$34</f>
        <v/>
      </c>
    </row>
    <row r="7">
      <c r="B7" s="122" t="n">
        <v>2</v>
      </c>
      <c r="C7" s="40">
        <f>(1-ENTRADAS!$C$33)*(1-ENTRADAS!$C$34)^(2-1)</f>
        <v/>
      </c>
      <c r="D7" s="123">
        <f>ECONOMIA!C$26*C7/$C$6*(1+ENTRADAS!$C$27)^(2-1)</f>
        <v/>
      </c>
      <c r="E7" s="123">
        <f>E6+D7</f>
        <v/>
      </c>
      <c r="F7" s="123">
        <f>E7-COMPARATIVO!C$34</f>
        <v/>
      </c>
      <c r="G7" s="123">
        <f>ECONOMIA!D$26*C7/$C$6*(1+ENTRADAS!$C$27)^(2-1)</f>
        <v/>
      </c>
      <c r="H7" s="123">
        <f>H6+G7</f>
        <v/>
      </c>
      <c r="I7" s="123">
        <f>H7-COMPARATIVO!D$34</f>
        <v/>
      </c>
      <c r="J7" s="123">
        <f>ECONOMIA!E$26*C7/$C$6*(1+ENTRADAS!$C$27)^(2-1)</f>
        <v/>
      </c>
      <c r="K7" s="123">
        <f>K6+J7</f>
        <v/>
      </c>
      <c r="L7" s="123">
        <f>K7-COMPARATIVO!E$34</f>
        <v/>
      </c>
      <c r="M7" s="123">
        <f>ECONOMIA!F$26*C7/$C$6*(1+ENTRADAS!$C$27)^(2-1)</f>
        <v/>
      </c>
      <c r="N7" s="123">
        <f>N6+M7</f>
        <v/>
      </c>
      <c r="O7" s="123">
        <f>N7-COMPARATIVO!F$34</f>
        <v/>
      </c>
      <c r="P7" s="123">
        <f>ECONOMIA!G$26*C7/$C$6*(1+ENTRADAS!$C$27)^(2-1)</f>
        <v/>
      </c>
      <c r="Q7" s="123">
        <f>Q6+P7</f>
        <v/>
      </c>
      <c r="R7" s="123">
        <f>Q7-COMPARATIVO!G$34</f>
        <v/>
      </c>
      <c r="S7" s="123">
        <f>ECONOMIA!H$26*C7/$C$6*(1+ENTRADAS!$C$27)^(2-1)</f>
        <v/>
      </c>
      <c r="T7" s="123">
        <f>T6+S7</f>
        <v/>
      </c>
      <c r="U7" s="123">
        <f>T7-COMPARATIVO!H$34</f>
        <v/>
      </c>
      <c r="V7" s="123">
        <f>ECONOMIA!I$26*C7/$C$6*(1+ENTRADAS!$C$27)^(2-1)</f>
        <v/>
      </c>
      <c r="W7" s="123">
        <f>W6+V7</f>
        <v/>
      </c>
      <c r="X7" s="123">
        <f>W7-COMPARATIVO!I$34</f>
        <v/>
      </c>
      <c r="Y7" s="123">
        <f>ECONOMIA!J$26*C7/$C$6*(1+ENTRADAS!$C$27)^(2-1)</f>
        <v/>
      </c>
      <c r="Z7" s="123">
        <f>Z6+Y7</f>
        <v/>
      </c>
      <c r="AA7" s="123">
        <f>Z7-COMPARATIVO!J$34</f>
        <v/>
      </c>
      <c r="AB7" s="123">
        <f>ECONOMIA!K$26*C7/$C$6*(1+ENTRADAS!$C$27)^(2-1)</f>
        <v/>
      </c>
      <c r="AC7" s="123">
        <f>AC6+AB7</f>
        <v/>
      </c>
      <c r="AD7" s="123">
        <f>AC7-COMPARATIVO!K$34</f>
        <v/>
      </c>
      <c r="AE7" s="123">
        <f>ECONOMIA!L$26*C7/$C$6*(1+ENTRADAS!$C$27)^(2-1)</f>
        <v/>
      </c>
      <c r="AF7" s="123">
        <f>AF6+AE7</f>
        <v/>
      </c>
      <c r="AG7" s="123">
        <f>AF7-COMPARATIVO!L$34</f>
        <v/>
      </c>
      <c r="AH7" s="123">
        <f>ECONOMIA!M$26*C7/$C$6*(1+ENTRADAS!$C$27)^(2-1)</f>
        <v/>
      </c>
      <c r="AI7" s="123">
        <f>AI6+AH7</f>
        <v/>
      </c>
      <c r="AJ7" s="123">
        <f>AI7-COMPARATIVO!M$34</f>
        <v/>
      </c>
      <c r="AK7" s="123">
        <f>ECONOMIA!N$26*C7/$C$6*(1+ENTRADAS!$C$27)^(2-1)</f>
        <v/>
      </c>
      <c r="AL7" s="123">
        <f>AL6+AK7</f>
        <v/>
      </c>
      <c r="AM7" s="123">
        <f>AL7-COMPARATIVO!N$34</f>
        <v/>
      </c>
    </row>
    <row r="8">
      <c r="B8" s="122" t="n">
        <v>3</v>
      </c>
      <c r="C8" s="40">
        <f>(1-ENTRADAS!$C$33)*(1-ENTRADAS!$C$34)^(3-1)</f>
        <v/>
      </c>
      <c r="D8" s="123">
        <f>ECONOMIA!C$26*C8/$C$6*(1+ENTRADAS!$C$27)^(3-1)</f>
        <v/>
      </c>
      <c r="E8" s="123">
        <f>E7+D8</f>
        <v/>
      </c>
      <c r="F8" s="123">
        <f>E8-COMPARATIVO!C$34</f>
        <v/>
      </c>
      <c r="G8" s="123">
        <f>ECONOMIA!D$26*C8/$C$6*(1+ENTRADAS!$C$27)^(3-1)</f>
        <v/>
      </c>
      <c r="H8" s="123">
        <f>H7+G8</f>
        <v/>
      </c>
      <c r="I8" s="123">
        <f>H8-COMPARATIVO!D$34</f>
        <v/>
      </c>
      <c r="J8" s="123">
        <f>ECONOMIA!E$26*C8/$C$6*(1+ENTRADAS!$C$27)^(3-1)</f>
        <v/>
      </c>
      <c r="K8" s="123">
        <f>K7+J8</f>
        <v/>
      </c>
      <c r="L8" s="123">
        <f>K8-COMPARATIVO!E$34</f>
        <v/>
      </c>
      <c r="M8" s="123">
        <f>ECONOMIA!F$26*C8/$C$6*(1+ENTRADAS!$C$27)^(3-1)</f>
        <v/>
      </c>
      <c r="N8" s="123">
        <f>N7+M8</f>
        <v/>
      </c>
      <c r="O8" s="123">
        <f>N8-COMPARATIVO!F$34</f>
        <v/>
      </c>
      <c r="P8" s="123">
        <f>ECONOMIA!G$26*C8/$C$6*(1+ENTRADAS!$C$27)^(3-1)</f>
        <v/>
      </c>
      <c r="Q8" s="123">
        <f>Q7+P8</f>
        <v/>
      </c>
      <c r="R8" s="123">
        <f>Q8-COMPARATIVO!G$34</f>
        <v/>
      </c>
      <c r="S8" s="123">
        <f>ECONOMIA!H$26*C8/$C$6*(1+ENTRADAS!$C$27)^(3-1)</f>
        <v/>
      </c>
      <c r="T8" s="123">
        <f>T7+S8</f>
        <v/>
      </c>
      <c r="U8" s="123">
        <f>T8-COMPARATIVO!H$34</f>
        <v/>
      </c>
      <c r="V8" s="123">
        <f>ECONOMIA!I$26*C8/$C$6*(1+ENTRADAS!$C$27)^(3-1)</f>
        <v/>
      </c>
      <c r="W8" s="123">
        <f>W7+V8</f>
        <v/>
      </c>
      <c r="X8" s="123">
        <f>W8-COMPARATIVO!I$34</f>
        <v/>
      </c>
      <c r="Y8" s="123">
        <f>ECONOMIA!J$26*C8/$C$6*(1+ENTRADAS!$C$27)^(3-1)</f>
        <v/>
      </c>
      <c r="Z8" s="123">
        <f>Z7+Y8</f>
        <v/>
      </c>
      <c r="AA8" s="123">
        <f>Z8-COMPARATIVO!J$34</f>
        <v/>
      </c>
      <c r="AB8" s="123">
        <f>ECONOMIA!K$26*C8/$C$6*(1+ENTRADAS!$C$27)^(3-1)</f>
        <v/>
      </c>
      <c r="AC8" s="123">
        <f>AC7+AB8</f>
        <v/>
      </c>
      <c r="AD8" s="123">
        <f>AC8-COMPARATIVO!K$34</f>
        <v/>
      </c>
      <c r="AE8" s="123">
        <f>ECONOMIA!L$26*C8/$C$6*(1+ENTRADAS!$C$27)^(3-1)</f>
        <v/>
      </c>
      <c r="AF8" s="123">
        <f>AF7+AE8</f>
        <v/>
      </c>
      <c r="AG8" s="123">
        <f>AF8-COMPARATIVO!L$34</f>
        <v/>
      </c>
      <c r="AH8" s="123">
        <f>ECONOMIA!M$26*C8/$C$6*(1+ENTRADAS!$C$27)^(3-1)</f>
        <v/>
      </c>
      <c r="AI8" s="123">
        <f>AI7+AH8</f>
        <v/>
      </c>
      <c r="AJ8" s="123">
        <f>AI8-COMPARATIVO!M$34</f>
        <v/>
      </c>
      <c r="AK8" s="123">
        <f>ECONOMIA!N$26*C8/$C$6*(1+ENTRADAS!$C$27)^(3-1)</f>
        <v/>
      </c>
      <c r="AL8" s="123">
        <f>AL7+AK8</f>
        <v/>
      </c>
      <c r="AM8" s="123">
        <f>AL8-COMPARATIVO!N$34</f>
        <v/>
      </c>
    </row>
    <row r="9">
      <c r="B9" s="122" t="n">
        <v>4</v>
      </c>
      <c r="C9" s="40">
        <f>(1-ENTRADAS!$C$33)*(1-ENTRADAS!$C$34)^(4-1)</f>
        <v/>
      </c>
      <c r="D9" s="123">
        <f>ECONOMIA!C$26*C9/$C$6*(1+ENTRADAS!$C$27)^(4-1)</f>
        <v/>
      </c>
      <c r="E9" s="123">
        <f>E8+D9</f>
        <v/>
      </c>
      <c r="F9" s="123">
        <f>E9-COMPARATIVO!C$34</f>
        <v/>
      </c>
      <c r="G9" s="123">
        <f>ECONOMIA!D$26*C9/$C$6*(1+ENTRADAS!$C$27)^(4-1)</f>
        <v/>
      </c>
      <c r="H9" s="123">
        <f>H8+G9</f>
        <v/>
      </c>
      <c r="I9" s="123">
        <f>H9-COMPARATIVO!D$34</f>
        <v/>
      </c>
      <c r="J9" s="123">
        <f>ECONOMIA!E$26*C9/$C$6*(1+ENTRADAS!$C$27)^(4-1)</f>
        <v/>
      </c>
      <c r="K9" s="123">
        <f>K8+J9</f>
        <v/>
      </c>
      <c r="L9" s="123">
        <f>K9-COMPARATIVO!E$34</f>
        <v/>
      </c>
      <c r="M9" s="123">
        <f>ECONOMIA!F$26*C9/$C$6*(1+ENTRADAS!$C$27)^(4-1)</f>
        <v/>
      </c>
      <c r="N9" s="123">
        <f>N8+M9</f>
        <v/>
      </c>
      <c r="O9" s="123">
        <f>N9-COMPARATIVO!F$34</f>
        <v/>
      </c>
      <c r="P9" s="123">
        <f>ECONOMIA!G$26*C9/$C$6*(1+ENTRADAS!$C$27)^(4-1)</f>
        <v/>
      </c>
      <c r="Q9" s="123">
        <f>Q8+P9</f>
        <v/>
      </c>
      <c r="R9" s="123">
        <f>Q9-COMPARATIVO!G$34</f>
        <v/>
      </c>
      <c r="S9" s="123">
        <f>ECONOMIA!H$26*C9/$C$6*(1+ENTRADAS!$C$27)^(4-1)</f>
        <v/>
      </c>
      <c r="T9" s="123">
        <f>T8+S9</f>
        <v/>
      </c>
      <c r="U9" s="123">
        <f>T9-COMPARATIVO!H$34</f>
        <v/>
      </c>
      <c r="V9" s="123">
        <f>ECONOMIA!I$26*C9/$C$6*(1+ENTRADAS!$C$27)^(4-1)</f>
        <v/>
      </c>
      <c r="W9" s="123">
        <f>W8+V9</f>
        <v/>
      </c>
      <c r="X9" s="123">
        <f>W9-COMPARATIVO!I$34</f>
        <v/>
      </c>
      <c r="Y9" s="123">
        <f>ECONOMIA!J$26*C9/$C$6*(1+ENTRADAS!$C$27)^(4-1)</f>
        <v/>
      </c>
      <c r="Z9" s="123">
        <f>Z8+Y9</f>
        <v/>
      </c>
      <c r="AA9" s="123">
        <f>Z9-COMPARATIVO!J$34</f>
        <v/>
      </c>
      <c r="AB9" s="123">
        <f>ECONOMIA!K$26*C9/$C$6*(1+ENTRADAS!$C$27)^(4-1)</f>
        <v/>
      </c>
      <c r="AC9" s="123">
        <f>AC8+AB9</f>
        <v/>
      </c>
      <c r="AD9" s="123">
        <f>AC9-COMPARATIVO!K$34</f>
        <v/>
      </c>
      <c r="AE9" s="123">
        <f>ECONOMIA!L$26*C9/$C$6*(1+ENTRADAS!$C$27)^(4-1)</f>
        <v/>
      </c>
      <c r="AF9" s="123">
        <f>AF8+AE9</f>
        <v/>
      </c>
      <c r="AG9" s="123">
        <f>AF9-COMPARATIVO!L$34</f>
        <v/>
      </c>
      <c r="AH9" s="123">
        <f>ECONOMIA!M$26*C9/$C$6*(1+ENTRADAS!$C$27)^(4-1)</f>
        <v/>
      </c>
      <c r="AI9" s="123">
        <f>AI8+AH9</f>
        <v/>
      </c>
      <c r="AJ9" s="123">
        <f>AI9-COMPARATIVO!M$34</f>
        <v/>
      </c>
      <c r="AK9" s="123">
        <f>ECONOMIA!N$26*C9/$C$6*(1+ENTRADAS!$C$27)^(4-1)</f>
        <v/>
      </c>
      <c r="AL9" s="123">
        <f>AL8+AK9</f>
        <v/>
      </c>
      <c r="AM9" s="123">
        <f>AL9-COMPARATIVO!N$34</f>
        <v/>
      </c>
    </row>
    <row r="10">
      <c r="B10" s="124" t="n">
        <v>5</v>
      </c>
      <c r="C10" s="125">
        <f>(1-ENTRADAS!$C$33)*(1-ENTRADAS!$C$34)^(5-1)</f>
        <v/>
      </c>
      <c r="D10" s="126">
        <f>ECONOMIA!C$26*C10/$C$6*(1+ENTRADAS!$C$27)^(5-1)</f>
        <v/>
      </c>
      <c r="E10" s="126">
        <f>E9+D10</f>
        <v/>
      </c>
      <c r="F10" s="126">
        <f>E10-COMPARATIVO!C$34</f>
        <v/>
      </c>
      <c r="G10" s="126">
        <f>ECONOMIA!D$26*C10/$C$6*(1+ENTRADAS!$C$27)^(5-1)</f>
        <v/>
      </c>
      <c r="H10" s="126">
        <f>H9+G10</f>
        <v/>
      </c>
      <c r="I10" s="126">
        <f>H10-COMPARATIVO!D$34</f>
        <v/>
      </c>
      <c r="J10" s="126">
        <f>ECONOMIA!E$26*C10/$C$6*(1+ENTRADAS!$C$27)^(5-1)</f>
        <v/>
      </c>
      <c r="K10" s="126">
        <f>K9+J10</f>
        <v/>
      </c>
      <c r="L10" s="126">
        <f>K10-COMPARATIVO!E$34</f>
        <v/>
      </c>
      <c r="M10" s="126">
        <f>ECONOMIA!F$26*C10/$C$6*(1+ENTRADAS!$C$27)^(5-1)</f>
        <v/>
      </c>
      <c r="N10" s="126">
        <f>N9+M10</f>
        <v/>
      </c>
      <c r="O10" s="126">
        <f>N10-COMPARATIVO!F$34</f>
        <v/>
      </c>
      <c r="P10" s="126">
        <f>ECONOMIA!G$26*C10/$C$6*(1+ENTRADAS!$C$27)^(5-1)</f>
        <v/>
      </c>
      <c r="Q10" s="126">
        <f>Q9+P10</f>
        <v/>
      </c>
      <c r="R10" s="126">
        <f>Q10-COMPARATIVO!G$34</f>
        <v/>
      </c>
      <c r="S10" s="126">
        <f>ECONOMIA!H$26*C10/$C$6*(1+ENTRADAS!$C$27)^(5-1)</f>
        <v/>
      </c>
      <c r="T10" s="126">
        <f>T9+S10</f>
        <v/>
      </c>
      <c r="U10" s="126">
        <f>T10-COMPARATIVO!H$34</f>
        <v/>
      </c>
      <c r="V10" s="126">
        <f>ECONOMIA!I$26*C10/$C$6*(1+ENTRADAS!$C$27)^(5-1)</f>
        <v/>
      </c>
      <c r="W10" s="126">
        <f>W9+V10</f>
        <v/>
      </c>
      <c r="X10" s="126">
        <f>W10-COMPARATIVO!I$34</f>
        <v/>
      </c>
      <c r="Y10" s="126">
        <f>ECONOMIA!J$26*C10/$C$6*(1+ENTRADAS!$C$27)^(5-1)</f>
        <v/>
      </c>
      <c r="Z10" s="126">
        <f>Z9+Y10</f>
        <v/>
      </c>
      <c r="AA10" s="126">
        <f>Z10-COMPARATIVO!J$34</f>
        <v/>
      </c>
      <c r="AB10" s="126">
        <f>ECONOMIA!K$26*C10/$C$6*(1+ENTRADAS!$C$27)^(5-1)</f>
        <v/>
      </c>
      <c r="AC10" s="126">
        <f>AC9+AB10</f>
        <v/>
      </c>
      <c r="AD10" s="126">
        <f>AC10-COMPARATIVO!K$34</f>
        <v/>
      </c>
      <c r="AE10" s="126">
        <f>ECONOMIA!L$26*C10/$C$6*(1+ENTRADAS!$C$27)^(5-1)</f>
        <v/>
      </c>
      <c r="AF10" s="126">
        <f>AF9+AE10</f>
        <v/>
      </c>
      <c r="AG10" s="126">
        <f>AF10-COMPARATIVO!L$34</f>
        <v/>
      </c>
      <c r="AH10" s="126">
        <f>ECONOMIA!M$26*C10/$C$6*(1+ENTRADAS!$C$27)^(5-1)</f>
        <v/>
      </c>
      <c r="AI10" s="126">
        <f>AI9+AH10</f>
        <v/>
      </c>
      <c r="AJ10" s="126">
        <f>AI10-COMPARATIVO!M$34</f>
        <v/>
      </c>
      <c r="AK10" s="126">
        <f>ECONOMIA!N$26*C10/$C$6*(1+ENTRADAS!$C$27)^(5-1)</f>
        <v/>
      </c>
      <c r="AL10" s="126">
        <f>AL9+AK10</f>
        <v/>
      </c>
      <c r="AM10" s="126">
        <f>AL10-COMPARATIVO!N$34</f>
        <v/>
      </c>
    </row>
    <row r="11">
      <c r="B11" s="122" t="n">
        <v>6</v>
      </c>
      <c r="C11" s="40">
        <f>(1-ENTRADAS!$C$33)*(1-ENTRADAS!$C$34)^(6-1)</f>
        <v/>
      </c>
      <c r="D11" s="123">
        <f>ECONOMIA!C$26*C11/$C$6*(1+ENTRADAS!$C$27)^(6-1)</f>
        <v/>
      </c>
      <c r="E11" s="123">
        <f>E10+D11</f>
        <v/>
      </c>
      <c r="F11" s="123">
        <f>E11-COMPARATIVO!C$34</f>
        <v/>
      </c>
      <c r="G11" s="123">
        <f>ECONOMIA!D$26*C11/$C$6*(1+ENTRADAS!$C$27)^(6-1)</f>
        <v/>
      </c>
      <c r="H11" s="123">
        <f>H10+G11</f>
        <v/>
      </c>
      <c r="I11" s="123">
        <f>H11-COMPARATIVO!D$34</f>
        <v/>
      </c>
      <c r="J11" s="123">
        <f>ECONOMIA!E$26*C11/$C$6*(1+ENTRADAS!$C$27)^(6-1)</f>
        <v/>
      </c>
      <c r="K11" s="123">
        <f>K10+J11</f>
        <v/>
      </c>
      <c r="L11" s="123">
        <f>K11-COMPARATIVO!E$34</f>
        <v/>
      </c>
      <c r="M11" s="123">
        <f>ECONOMIA!F$26*C11/$C$6*(1+ENTRADAS!$C$27)^(6-1)</f>
        <v/>
      </c>
      <c r="N11" s="123">
        <f>N10+M11</f>
        <v/>
      </c>
      <c r="O11" s="123">
        <f>N11-COMPARATIVO!F$34</f>
        <v/>
      </c>
      <c r="P11" s="123">
        <f>ECONOMIA!G$26*C11/$C$6*(1+ENTRADAS!$C$27)^(6-1)</f>
        <v/>
      </c>
      <c r="Q11" s="123">
        <f>Q10+P11</f>
        <v/>
      </c>
      <c r="R11" s="123">
        <f>Q11-COMPARATIVO!G$34</f>
        <v/>
      </c>
      <c r="S11" s="123">
        <f>ECONOMIA!H$26*C11/$C$6*(1+ENTRADAS!$C$27)^(6-1)</f>
        <v/>
      </c>
      <c r="T11" s="123">
        <f>T10+S11</f>
        <v/>
      </c>
      <c r="U11" s="123">
        <f>T11-COMPARATIVO!H$34</f>
        <v/>
      </c>
      <c r="V11" s="123">
        <f>ECONOMIA!I$26*C11/$C$6*(1+ENTRADAS!$C$27)^(6-1)</f>
        <v/>
      </c>
      <c r="W11" s="123">
        <f>W10+V11</f>
        <v/>
      </c>
      <c r="X11" s="123">
        <f>W11-COMPARATIVO!I$34</f>
        <v/>
      </c>
      <c r="Y11" s="123">
        <f>ECONOMIA!J$26*C11/$C$6*(1+ENTRADAS!$C$27)^(6-1)</f>
        <v/>
      </c>
      <c r="Z11" s="123">
        <f>Z10+Y11</f>
        <v/>
      </c>
      <c r="AA11" s="123">
        <f>Z11-COMPARATIVO!J$34</f>
        <v/>
      </c>
      <c r="AB11" s="123">
        <f>ECONOMIA!K$26*C11/$C$6*(1+ENTRADAS!$C$27)^(6-1)</f>
        <v/>
      </c>
      <c r="AC11" s="123">
        <f>AC10+AB11</f>
        <v/>
      </c>
      <c r="AD11" s="123">
        <f>AC11-COMPARATIVO!K$34</f>
        <v/>
      </c>
      <c r="AE11" s="123">
        <f>ECONOMIA!L$26*C11/$C$6*(1+ENTRADAS!$C$27)^(6-1)</f>
        <v/>
      </c>
      <c r="AF11" s="123">
        <f>AF10+AE11</f>
        <v/>
      </c>
      <c r="AG11" s="123">
        <f>AF11-COMPARATIVO!L$34</f>
        <v/>
      </c>
      <c r="AH11" s="123">
        <f>ECONOMIA!M$26*C11/$C$6*(1+ENTRADAS!$C$27)^(6-1)</f>
        <v/>
      </c>
      <c r="AI11" s="123">
        <f>AI10+AH11</f>
        <v/>
      </c>
      <c r="AJ11" s="123">
        <f>AI11-COMPARATIVO!M$34</f>
        <v/>
      </c>
      <c r="AK11" s="123">
        <f>ECONOMIA!N$26*C11/$C$6*(1+ENTRADAS!$C$27)^(6-1)</f>
        <v/>
      </c>
      <c r="AL11" s="123">
        <f>AL10+AK11</f>
        <v/>
      </c>
      <c r="AM11" s="123">
        <f>AL11-COMPARATIVO!N$34</f>
        <v/>
      </c>
    </row>
    <row r="12">
      <c r="B12" s="122" t="n">
        <v>7</v>
      </c>
      <c r="C12" s="40">
        <f>(1-ENTRADAS!$C$33)*(1-ENTRADAS!$C$34)^(7-1)</f>
        <v/>
      </c>
      <c r="D12" s="123">
        <f>ECONOMIA!C$26*C12/$C$6*(1+ENTRADAS!$C$27)^(7-1)</f>
        <v/>
      </c>
      <c r="E12" s="123">
        <f>E11+D12</f>
        <v/>
      </c>
      <c r="F12" s="123">
        <f>E12-COMPARATIVO!C$34</f>
        <v/>
      </c>
      <c r="G12" s="123">
        <f>ECONOMIA!D$26*C12/$C$6*(1+ENTRADAS!$C$27)^(7-1)</f>
        <v/>
      </c>
      <c r="H12" s="123">
        <f>H11+G12</f>
        <v/>
      </c>
      <c r="I12" s="123">
        <f>H12-COMPARATIVO!D$34</f>
        <v/>
      </c>
      <c r="J12" s="123">
        <f>ECONOMIA!E$26*C12/$C$6*(1+ENTRADAS!$C$27)^(7-1)</f>
        <v/>
      </c>
      <c r="K12" s="123">
        <f>K11+J12</f>
        <v/>
      </c>
      <c r="L12" s="123">
        <f>K12-COMPARATIVO!E$34</f>
        <v/>
      </c>
      <c r="M12" s="123">
        <f>ECONOMIA!F$26*C12/$C$6*(1+ENTRADAS!$C$27)^(7-1)</f>
        <v/>
      </c>
      <c r="N12" s="123">
        <f>N11+M12</f>
        <v/>
      </c>
      <c r="O12" s="123">
        <f>N12-COMPARATIVO!F$34</f>
        <v/>
      </c>
      <c r="P12" s="123">
        <f>ECONOMIA!G$26*C12/$C$6*(1+ENTRADAS!$C$27)^(7-1)</f>
        <v/>
      </c>
      <c r="Q12" s="123">
        <f>Q11+P12</f>
        <v/>
      </c>
      <c r="R12" s="123">
        <f>Q12-COMPARATIVO!G$34</f>
        <v/>
      </c>
      <c r="S12" s="123">
        <f>ECONOMIA!H$26*C12/$C$6*(1+ENTRADAS!$C$27)^(7-1)</f>
        <v/>
      </c>
      <c r="T12" s="123">
        <f>T11+S12</f>
        <v/>
      </c>
      <c r="U12" s="123">
        <f>T12-COMPARATIVO!H$34</f>
        <v/>
      </c>
      <c r="V12" s="123">
        <f>ECONOMIA!I$26*C12/$C$6*(1+ENTRADAS!$C$27)^(7-1)</f>
        <v/>
      </c>
      <c r="W12" s="123">
        <f>W11+V12</f>
        <v/>
      </c>
      <c r="X12" s="123">
        <f>W12-COMPARATIVO!I$34</f>
        <v/>
      </c>
      <c r="Y12" s="123">
        <f>ECONOMIA!J$26*C12/$C$6*(1+ENTRADAS!$C$27)^(7-1)</f>
        <v/>
      </c>
      <c r="Z12" s="123">
        <f>Z11+Y12</f>
        <v/>
      </c>
      <c r="AA12" s="123">
        <f>Z12-COMPARATIVO!J$34</f>
        <v/>
      </c>
      <c r="AB12" s="123">
        <f>ECONOMIA!K$26*C12/$C$6*(1+ENTRADAS!$C$27)^(7-1)</f>
        <v/>
      </c>
      <c r="AC12" s="123">
        <f>AC11+AB12</f>
        <v/>
      </c>
      <c r="AD12" s="123">
        <f>AC12-COMPARATIVO!K$34</f>
        <v/>
      </c>
      <c r="AE12" s="123">
        <f>ECONOMIA!L$26*C12/$C$6*(1+ENTRADAS!$C$27)^(7-1)</f>
        <v/>
      </c>
      <c r="AF12" s="123">
        <f>AF11+AE12</f>
        <v/>
      </c>
      <c r="AG12" s="123">
        <f>AF12-COMPARATIVO!L$34</f>
        <v/>
      </c>
      <c r="AH12" s="123">
        <f>ECONOMIA!M$26*C12/$C$6*(1+ENTRADAS!$C$27)^(7-1)</f>
        <v/>
      </c>
      <c r="AI12" s="123">
        <f>AI11+AH12</f>
        <v/>
      </c>
      <c r="AJ12" s="123">
        <f>AI12-COMPARATIVO!M$34</f>
        <v/>
      </c>
      <c r="AK12" s="123">
        <f>ECONOMIA!N$26*C12/$C$6*(1+ENTRADAS!$C$27)^(7-1)</f>
        <v/>
      </c>
      <c r="AL12" s="123">
        <f>AL11+AK12</f>
        <v/>
      </c>
      <c r="AM12" s="123">
        <f>AL12-COMPARATIVO!N$34</f>
        <v/>
      </c>
    </row>
    <row r="13">
      <c r="B13" s="122" t="n">
        <v>8</v>
      </c>
      <c r="C13" s="40">
        <f>(1-ENTRADAS!$C$33)*(1-ENTRADAS!$C$34)^(8-1)</f>
        <v/>
      </c>
      <c r="D13" s="123">
        <f>ECONOMIA!C$26*C13/$C$6*(1+ENTRADAS!$C$27)^(8-1)</f>
        <v/>
      </c>
      <c r="E13" s="123">
        <f>E12+D13</f>
        <v/>
      </c>
      <c r="F13" s="123">
        <f>E13-COMPARATIVO!C$34</f>
        <v/>
      </c>
      <c r="G13" s="123">
        <f>ECONOMIA!D$26*C13/$C$6*(1+ENTRADAS!$C$27)^(8-1)</f>
        <v/>
      </c>
      <c r="H13" s="123">
        <f>H12+G13</f>
        <v/>
      </c>
      <c r="I13" s="123">
        <f>H13-COMPARATIVO!D$34</f>
        <v/>
      </c>
      <c r="J13" s="123">
        <f>ECONOMIA!E$26*C13/$C$6*(1+ENTRADAS!$C$27)^(8-1)</f>
        <v/>
      </c>
      <c r="K13" s="123">
        <f>K12+J13</f>
        <v/>
      </c>
      <c r="L13" s="123">
        <f>K13-COMPARATIVO!E$34</f>
        <v/>
      </c>
      <c r="M13" s="123">
        <f>ECONOMIA!F$26*C13/$C$6*(1+ENTRADAS!$C$27)^(8-1)</f>
        <v/>
      </c>
      <c r="N13" s="123">
        <f>N12+M13</f>
        <v/>
      </c>
      <c r="O13" s="123">
        <f>N13-COMPARATIVO!F$34</f>
        <v/>
      </c>
      <c r="P13" s="123">
        <f>ECONOMIA!G$26*C13/$C$6*(1+ENTRADAS!$C$27)^(8-1)</f>
        <v/>
      </c>
      <c r="Q13" s="123">
        <f>Q12+P13</f>
        <v/>
      </c>
      <c r="R13" s="123">
        <f>Q13-COMPARATIVO!G$34</f>
        <v/>
      </c>
      <c r="S13" s="123">
        <f>ECONOMIA!H$26*C13/$C$6*(1+ENTRADAS!$C$27)^(8-1)</f>
        <v/>
      </c>
      <c r="T13" s="123">
        <f>T12+S13</f>
        <v/>
      </c>
      <c r="U13" s="123">
        <f>T13-COMPARATIVO!H$34</f>
        <v/>
      </c>
      <c r="V13" s="123">
        <f>ECONOMIA!I$26*C13/$C$6*(1+ENTRADAS!$C$27)^(8-1)</f>
        <v/>
      </c>
      <c r="W13" s="123">
        <f>W12+V13</f>
        <v/>
      </c>
      <c r="X13" s="123">
        <f>W13-COMPARATIVO!I$34</f>
        <v/>
      </c>
      <c r="Y13" s="123">
        <f>ECONOMIA!J$26*C13/$C$6*(1+ENTRADAS!$C$27)^(8-1)</f>
        <v/>
      </c>
      <c r="Z13" s="123">
        <f>Z12+Y13</f>
        <v/>
      </c>
      <c r="AA13" s="123">
        <f>Z13-COMPARATIVO!J$34</f>
        <v/>
      </c>
      <c r="AB13" s="123">
        <f>ECONOMIA!K$26*C13/$C$6*(1+ENTRADAS!$C$27)^(8-1)</f>
        <v/>
      </c>
      <c r="AC13" s="123">
        <f>AC12+AB13</f>
        <v/>
      </c>
      <c r="AD13" s="123">
        <f>AC13-COMPARATIVO!K$34</f>
        <v/>
      </c>
      <c r="AE13" s="123">
        <f>ECONOMIA!L$26*C13/$C$6*(1+ENTRADAS!$C$27)^(8-1)</f>
        <v/>
      </c>
      <c r="AF13" s="123">
        <f>AF12+AE13</f>
        <v/>
      </c>
      <c r="AG13" s="123">
        <f>AF13-COMPARATIVO!L$34</f>
        <v/>
      </c>
      <c r="AH13" s="123">
        <f>ECONOMIA!M$26*C13/$C$6*(1+ENTRADAS!$C$27)^(8-1)</f>
        <v/>
      </c>
      <c r="AI13" s="123">
        <f>AI12+AH13</f>
        <v/>
      </c>
      <c r="AJ13" s="123">
        <f>AI13-COMPARATIVO!M$34</f>
        <v/>
      </c>
      <c r="AK13" s="123">
        <f>ECONOMIA!N$26*C13/$C$6*(1+ENTRADAS!$C$27)^(8-1)</f>
        <v/>
      </c>
      <c r="AL13" s="123">
        <f>AL12+AK13</f>
        <v/>
      </c>
      <c r="AM13" s="123">
        <f>AL13-COMPARATIVO!N$34</f>
        <v/>
      </c>
    </row>
    <row r="14">
      <c r="B14" s="122" t="n">
        <v>9</v>
      </c>
      <c r="C14" s="40">
        <f>(1-ENTRADAS!$C$33)*(1-ENTRADAS!$C$34)^(9-1)</f>
        <v/>
      </c>
      <c r="D14" s="123">
        <f>ECONOMIA!C$26*C14/$C$6*(1+ENTRADAS!$C$27)^(9-1)</f>
        <v/>
      </c>
      <c r="E14" s="123">
        <f>E13+D14</f>
        <v/>
      </c>
      <c r="F14" s="123">
        <f>E14-COMPARATIVO!C$34</f>
        <v/>
      </c>
      <c r="G14" s="123">
        <f>ECONOMIA!D$26*C14/$C$6*(1+ENTRADAS!$C$27)^(9-1)</f>
        <v/>
      </c>
      <c r="H14" s="123">
        <f>H13+G14</f>
        <v/>
      </c>
      <c r="I14" s="123">
        <f>H14-COMPARATIVO!D$34</f>
        <v/>
      </c>
      <c r="J14" s="123">
        <f>ECONOMIA!E$26*C14/$C$6*(1+ENTRADAS!$C$27)^(9-1)</f>
        <v/>
      </c>
      <c r="K14" s="123">
        <f>K13+J14</f>
        <v/>
      </c>
      <c r="L14" s="123">
        <f>K14-COMPARATIVO!E$34</f>
        <v/>
      </c>
      <c r="M14" s="123">
        <f>ECONOMIA!F$26*C14/$C$6*(1+ENTRADAS!$C$27)^(9-1)</f>
        <v/>
      </c>
      <c r="N14" s="123">
        <f>N13+M14</f>
        <v/>
      </c>
      <c r="O14" s="123">
        <f>N14-COMPARATIVO!F$34</f>
        <v/>
      </c>
      <c r="P14" s="123">
        <f>ECONOMIA!G$26*C14/$C$6*(1+ENTRADAS!$C$27)^(9-1)</f>
        <v/>
      </c>
      <c r="Q14" s="123">
        <f>Q13+P14</f>
        <v/>
      </c>
      <c r="R14" s="123">
        <f>Q14-COMPARATIVO!G$34</f>
        <v/>
      </c>
      <c r="S14" s="123">
        <f>ECONOMIA!H$26*C14/$C$6*(1+ENTRADAS!$C$27)^(9-1)</f>
        <v/>
      </c>
      <c r="T14" s="123">
        <f>T13+S14</f>
        <v/>
      </c>
      <c r="U14" s="123">
        <f>T14-COMPARATIVO!H$34</f>
        <v/>
      </c>
      <c r="V14" s="123">
        <f>ECONOMIA!I$26*C14/$C$6*(1+ENTRADAS!$C$27)^(9-1)</f>
        <v/>
      </c>
      <c r="W14" s="123">
        <f>W13+V14</f>
        <v/>
      </c>
      <c r="X14" s="123">
        <f>W14-COMPARATIVO!I$34</f>
        <v/>
      </c>
      <c r="Y14" s="123">
        <f>ECONOMIA!J$26*C14/$C$6*(1+ENTRADAS!$C$27)^(9-1)</f>
        <v/>
      </c>
      <c r="Z14" s="123">
        <f>Z13+Y14</f>
        <v/>
      </c>
      <c r="AA14" s="123">
        <f>Z14-COMPARATIVO!J$34</f>
        <v/>
      </c>
      <c r="AB14" s="123">
        <f>ECONOMIA!K$26*C14/$C$6*(1+ENTRADAS!$C$27)^(9-1)</f>
        <v/>
      </c>
      <c r="AC14" s="123">
        <f>AC13+AB14</f>
        <v/>
      </c>
      <c r="AD14" s="123">
        <f>AC14-COMPARATIVO!K$34</f>
        <v/>
      </c>
      <c r="AE14" s="123">
        <f>ECONOMIA!L$26*C14/$C$6*(1+ENTRADAS!$C$27)^(9-1)</f>
        <v/>
      </c>
      <c r="AF14" s="123">
        <f>AF13+AE14</f>
        <v/>
      </c>
      <c r="AG14" s="123">
        <f>AF14-COMPARATIVO!L$34</f>
        <v/>
      </c>
      <c r="AH14" s="123">
        <f>ECONOMIA!M$26*C14/$C$6*(1+ENTRADAS!$C$27)^(9-1)</f>
        <v/>
      </c>
      <c r="AI14" s="123">
        <f>AI13+AH14</f>
        <v/>
      </c>
      <c r="AJ14" s="123">
        <f>AI14-COMPARATIVO!M$34</f>
        <v/>
      </c>
      <c r="AK14" s="123">
        <f>ECONOMIA!N$26*C14/$C$6*(1+ENTRADAS!$C$27)^(9-1)</f>
        <v/>
      </c>
      <c r="AL14" s="123">
        <f>AL13+AK14</f>
        <v/>
      </c>
      <c r="AM14" s="123">
        <f>AL14-COMPARATIVO!N$34</f>
        <v/>
      </c>
    </row>
    <row r="15">
      <c r="B15" s="124" t="n">
        <v>10</v>
      </c>
      <c r="C15" s="125">
        <f>(1-ENTRADAS!$C$33)*(1-ENTRADAS!$C$34)^(10-1)</f>
        <v/>
      </c>
      <c r="D15" s="126">
        <f>ECONOMIA!C$26*C15/$C$6*(1+ENTRADAS!$C$27)^(10-1)</f>
        <v/>
      </c>
      <c r="E15" s="126">
        <f>E14+D15</f>
        <v/>
      </c>
      <c r="F15" s="126">
        <f>E15-COMPARATIVO!C$34</f>
        <v/>
      </c>
      <c r="G15" s="126">
        <f>ECONOMIA!D$26*C15/$C$6*(1+ENTRADAS!$C$27)^(10-1)</f>
        <v/>
      </c>
      <c r="H15" s="126">
        <f>H14+G15</f>
        <v/>
      </c>
      <c r="I15" s="126">
        <f>H15-COMPARATIVO!D$34</f>
        <v/>
      </c>
      <c r="J15" s="126">
        <f>ECONOMIA!E$26*C15/$C$6*(1+ENTRADAS!$C$27)^(10-1)</f>
        <v/>
      </c>
      <c r="K15" s="126">
        <f>K14+J15</f>
        <v/>
      </c>
      <c r="L15" s="126">
        <f>K15-COMPARATIVO!E$34</f>
        <v/>
      </c>
      <c r="M15" s="126">
        <f>ECONOMIA!F$26*C15/$C$6*(1+ENTRADAS!$C$27)^(10-1)</f>
        <v/>
      </c>
      <c r="N15" s="126">
        <f>N14+M15</f>
        <v/>
      </c>
      <c r="O15" s="126">
        <f>N15-COMPARATIVO!F$34</f>
        <v/>
      </c>
      <c r="P15" s="126">
        <f>ECONOMIA!G$26*C15/$C$6*(1+ENTRADAS!$C$27)^(10-1)</f>
        <v/>
      </c>
      <c r="Q15" s="126">
        <f>Q14+P15</f>
        <v/>
      </c>
      <c r="R15" s="126">
        <f>Q15-COMPARATIVO!G$34</f>
        <v/>
      </c>
      <c r="S15" s="126">
        <f>ECONOMIA!H$26*C15/$C$6*(1+ENTRADAS!$C$27)^(10-1)</f>
        <v/>
      </c>
      <c r="T15" s="126">
        <f>T14+S15</f>
        <v/>
      </c>
      <c r="U15" s="126">
        <f>T15-COMPARATIVO!H$34</f>
        <v/>
      </c>
      <c r="V15" s="126">
        <f>ECONOMIA!I$26*C15/$C$6*(1+ENTRADAS!$C$27)^(10-1)</f>
        <v/>
      </c>
      <c r="W15" s="126">
        <f>W14+V15</f>
        <v/>
      </c>
      <c r="X15" s="126">
        <f>W15-COMPARATIVO!I$34</f>
        <v/>
      </c>
      <c r="Y15" s="126">
        <f>ECONOMIA!J$26*C15/$C$6*(1+ENTRADAS!$C$27)^(10-1)</f>
        <v/>
      </c>
      <c r="Z15" s="126">
        <f>Z14+Y15</f>
        <v/>
      </c>
      <c r="AA15" s="126">
        <f>Z15-COMPARATIVO!J$34</f>
        <v/>
      </c>
      <c r="AB15" s="126">
        <f>ECONOMIA!K$26*C15/$C$6*(1+ENTRADAS!$C$27)^(10-1)</f>
        <v/>
      </c>
      <c r="AC15" s="126">
        <f>AC14+AB15</f>
        <v/>
      </c>
      <c r="AD15" s="126">
        <f>AC15-COMPARATIVO!K$34</f>
        <v/>
      </c>
      <c r="AE15" s="126">
        <f>ECONOMIA!L$26*C15/$C$6*(1+ENTRADAS!$C$27)^(10-1)</f>
        <v/>
      </c>
      <c r="AF15" s="126">
        <f>AF14+AE15</f>
        <v/>
      </c>
      <c r="AG15" s="126">
        <f>AF15-COMPARATIVO!L$34</f>
        <v/>
      </c>
      <c r="AH15" s="126">
        <f>ECONOMIA!M$26*C15/$C$6*(1+ENTRADAS!$C$27)^(10-1)</f>
        <v/>
      </c>
      <c r="AI15" s="126">
        <f>AI14+AH15</f>
        <v/>
      </c>
      <c r="AJ15" s="126">
        <f>AI15-COMPARATIVO!M$34</f>
        <v/>
      </c>
      <c r="AK15" s="126">
        <f>ECONOMIA!N$26*C15/$C$6*(1+ENTRADAS!$C$27)^(10-1)</f>
        <v/>
      </c>
      <c r="AL15" s="126">
        <f>AL14+AK15</f>
        <v/>
      </c>
      <c r="AM15" s="126">
        <f>AL15-COMPARATIVO!N$34</f>
        <v/>
      </c>
    </row>
    <row r="16">
      <c r="B16" s="122" t="n">
        <v>11</v>
      </c>
      <c r="C16" s="40">
        <f>(1-ENTRADAS!$C$33)*(1-ENTRADAS!$C$34)^(11-1)</f>
        <v/>
      </c>
      <c r="D16" s="123">
        <f>ECONOMIA!C$26*C16/$C$6*(1+ENTRADAS!$C$27)^(11-1)</f>
        <v/>
      </c>
      <c r="E16" s="123">
        <f>E15+D16</f>
        <v/>
      </c>
      <c r="F16" s="123">
        <f>E16-COMPARATIVO!C$34</f>
        <v/>
      </c>
      <c r="G16" s="123">
        <f>ECONOMIA!D$26*C16/$C$6*(1+ENTRADAS!$C$27)^(11-1)</f>
        <v/>
      </c>
      <c r="H16" s="123">
        <f>H15+G16</f>
        <v/>
      </c>
      <c r="I16" s="123">
        <f>H16-COMPARATIVO!D$34</f>
        <v/>
      </c>
      <c r="J16" s="123">
        <f>ECONOMIA!E$26*C16/$C$6*(1+ENTRADAS!$C$27)^(11-1)</f>
        <v/>
      </c>
      <c r="K16" s="123">
        <f>K15+J16</f>
        <v/>
      </c>
      <c r="L16" s="123">
        <f>K16-COMPARATIVO!E$34</f>
        <v/>
      </c>
      <c r="M16" s="123">
        <f>ECONOMIA!F$26*C16/$C$6*(1+ENTRADAS!$C$27)^(11-1)</f>
        <v/>
      </c>
      <c r="N16" s="123">
        <f>N15+M16</f>
        <v/>
      </c>
      <c r="O16" s="123">
        <f>N16-COMPARATIVO!F$34</f>
        <v/>
      </c>
      <c r="P16" s="123">
        <f>ECONOMIA!G$26*C16/$C$6*(1+ENTRADAS!$C$27)^(11-1)</f>
        <v/>
      </c>
      <c r="Q16" s="123">
        <f>Q15+P16</f>
        <v/>
      </c>
      <c r="R16" s="123">
        <f>Q16-COMPARATIVO!G$34</f>
        <v/>
      </c>
      <c r="S16" s="123">
        <f>ECONOMIA!H$26*C16/$C$6*(1+ENTRADAS!$C$27)^(11-1)</f>
        <v/>
      </c>
      <c r="T16" s="123">
        <f>T15+S16</f>
        <v/>
      </c>
      <c r="U16" s="123">
        <f>T16-COMPARATIVO!H$34</f>
        <v/>
      </c>
      <c r="V16" s="123">
        <f>ECONOMIA!I$26*C16/$C$6*(1+ENTRADAS!$C$27)^(11-1)</f>
        <v/>
      </c>
      <c r="W16" s="123">
        <f>W15+V16</f>
        <v/>
      </c>
      <c r="X16" s="123">
        <f>W16-COMPARATIVO!I$34</f>
        <v/>
      </c>
      <c r="Y16" s="123">
        <f>ECONOMIA!J$26*C16/$C$6*(1+ENTRADAS!$C$27)^(11-1)</f>
        <v/>
      </c>
      <c r="Z16" s="123">
        <f>Z15+Y16</f>
        <v/>
      </c>
      <c r="AA16" s="123">
        <f>Z16-COMPARATIVO!J$34</f>
        <v/>
      </c>
      <c r="AB16" s="123">
        <f>ECONOMIA!K$26*C16/$C$6*(1+ENTRADAS!$C$27)^(11-1)</f>
        <v/>
      </c>
      <c r="AC16" s="123">
        <f>AC15+AB16</f>
        <v/>
      </c>
      <c r="AD16" s="123">
        <f>AC16-COMPARATIVO!K$34</f>
        <v/>
      </c>
      <c r="AE16" s="123">
        <f>ECONOMIA!L$26*C16/$C$6*(1+ENTRADAS!$C$27)^(11-1)</f>
        <v/>
      </c>
      <c r="AF16" s="123">
        <f>AF15+AE16</f>
        <v/>
      </c>
      <c r="AG16" s="123">
        <f>AF16-COMPARATIVO!L$34</f>
        <v/>
      </c>
      <c r="AH16" s="123">
        <f>ECONOMIA!M$26*C16/$C$6*(1+ENTRADAS!$C$27)^(11-1)</f>
        <v/>
      </c>
      <c r="AI16" s="123">
        <f>AI15+AH16</f>
        <v/>
      </c>
      <c r="AJ16" s="123">
        <f>AI16-COMPARATIVO!M$34</f>
        <v/>
      </c>
      <c r="AK16" s="123">
        <f>ECONOMIA!N$26*C16/$C$6*(1+ENTRADAS!$C$27)^(11-1)</f>
        <v/>
      </c>
      <c r="AL16" s="123">
        <f>AL15+AK16</f>
        <v/>
      </c>
      <c r="AM16" s="123">
        <f>AL16-COMPARATIVO!N$34</f>
        <v/>
      </c>
    </row>
    <row r="17">
      <c r="B17" s="122" t="n">
        <v>12</v>
      </c>
      <c r="C17" s="40">
        <f>(1-ENTRADAS!$C$33)*(1-ENTRADAS!$C$34)^(12-1)</f>
        <v/>
      </c>
      <c r="D17" s="123">
        <f>ECONOMIA!C$26*C17/$C$6*(1+ENTRADAS!$C$27)^(12-1)</f>
        <v/>
      </c>
      <c r="E17" s="123">
        <f>E16+D17</f>
        <v/>
      </c>
      <c r="F17" s="123">
        <f>E17-COMPARATIVO!C$34</f>
        <v/>
      </c>
      <c r="G17" s="123">
        <f>ECONOMIA!D$26*C17/$C$6*(1+ENTRADAS!$C$27)^(12-1)</f>
        <v/>
      </c>
      <c r="H17" s="123">
        <f>H16+G17</f>
        <v/>
      </c>
      <c r="I17" s="123">
        <f>H17-COMPARATIVO!D$34</f>
        <v/>
      </c>
      <c r="J17" s="123">
        <f>ECONOMIA!E$26*C17/$C$6*(1+ENTRADAS!$C$27)^(12-1)</f>
        <v/>
      </c>
      <c r="K17" s="123">
        <f>K16+J17</f>
        <v/>
      </c>
      <c r="L17" s="123">
        <f>K17-COMPARATIVO!E$34</f>
        <v/>
      </c>
      <c r="M17" s="123">
        <f>ECONOMIA!F$26*C17/$C$6*(1+ENTRADAS!$C$27)^(12-1)</f>
        <v/>
      </c>
      <c r="N17" s="123">
        <f>N16+M17</f>
        <v/>
      </c>
      <c r="O17" s="123">
        <f>N17-COMPARATIVO!F$34</f>
        <v/>
      </c>
      <c r="P17" s="123">
        <f>ECONOMIA!G$26*C17/$C$6*(1+ENTRADAS!$C$27)^(12-1)</f>
        <v/>
      </c>
      <c r="Q17" s="123">
        <f>Q16+P17</f>
        <v/>
      </c>
      <c r="R17" s="123">
        <f>Q17-COMPARATIVO!G$34</f>
        <v/>
      </c>
      <c r="S17" s="123">
        <f>ECONOMIA!H$26*C17/$C$6*(1+ENTRADAS!$C$27)^(12-1)</f>
        <v/>
      </c>
      <c r="T17" s="123">
        <f>T16+S17</f>
        <v/>
      </c>
      <c r="U17" s="123">
        <f>T17-COMPARATIVO!H$34</f>
        <v/>
      </c>
      <c r="V17" s="123">
        <f>ECONOMIA!I$26*C17/$C$6*(1+ENTRADAS!$C$27)^(12-1)</f>
        <v/>
      </c>
      <c r="W17" s="123">
        <f>W16+V17</f>
        <v/>
      </c>
      <c r="X17" s="123">
        <f>W17-COMPARATIVO!I$34</f>
        <v/>
      </c>
      <c r="Y17" s="123">
        <f>ECONOMIA!J$26*C17/$C$6*(1+ENTRADAS!$C$27)^(12-1)</f>
        <v/>
      </c>
      <c r="Z17" s="123">
        <f>Z16+Y17</f>
        <v/>
      </c>
      <c r="AA17" s="123">
        <f>Z17-COMPARATIVO!J$34</f>
        <v/>
      </c>
      <c r="AB17" s="123">
        <f>ECONOMIA!K$26*C17/$C$6*(1+ENTRADAS!$C$27)^(12-1)</f>
        <v/>
      </c>
      <c r="AC17" s="123">
        <f>AC16+AB17</f>
        <v/>
      </c>
      <c r="AD17" s="123">
        <f>AC17-COMPARATIVO!K$34</f>
        <v/>
      </c>
      <c r="AE17" s="123">
        <f>ECONOMIA!L$26*C17/$C$6*(1+ENTRADAS!$C$27)^(12-1)</f>
        <v/>
      </c>
      <c r="AF17" s="123">
        <f>AF16+AE17</f>
        <v/>
      </c>
      <c r="AG17" s="123">
        <f>AF17-COMPARATIVO!L$34</f>
        <v/>
      </c>
      <c r="AH17" s="123">
        <f>ECONOMIA!M$26*C17/$C$6*(1+ENTRADAS!$C$27)^(12-1)</f>
        <v/>
      </c>
      <c r="AI17" s="123">
        <f>AI16+AH17</f>
        <v/>
      </c>
      <c r="AJ17" s="123">
        <f>AI17-COMPARATIVO!M$34</f>
        <v/>
      </c>
      <c r="AK17" s="123">
        <f>ECONOMIA!N$26*C17/$C$6*(1+ENTRADAS!$C$27)^(12-1)</f>
        <v/>
      </c>
      <c r="AL17" s="123">
        <f>AL16+AK17</f>
        <v/>
      </c>
      <c r="AM17" s="123">
        <f>AL17-COMPARATIVO!N$34</f>
        <v/>
      </c>
    </row>
    <row r="18">
      <c r="B18" s="122" t="n">
        <v>13</v>
      </c>
      <c r="C18" s="40">
        <f>(1-ENTRADAS!$C$33)*(1-ENTRADAS!$C$34)^(13-1)</f>
        <v/>
      </c>
      <c r="D18" s="123">
        <f>ECONOMIA!C$26*C18/$C$6*(1+ENTRADAS!$C$27)^(13-1)</f>
        <v/>
      </c>
      <c r="E18" s="123">
        <f>E17+D18</f>
        <v/>
      </c>
      <c r="F18" s="123">
        <f>E18-COMPARATIVO!C$34</f>
        <v/>
      </c>
      <c r="G18" s="123">
        <f>ECONOMIA!D$26*C18/$C$6*(1+ENTRADAS!$C$27)^(13-1)</f>
        <v/>
      </c>
      <c r="H18" s="123">
        <f>H17+G18</f>
        <v/>
      </c>
      <c r="I18" s="123">
        <f>H18-COMPARATIVO!D$34</f>
        <v/>
      </c>
      <c r="J18" s="123">
        <f>ECONOMIA!E$26*C18/$C$6*(1+ENTRADAS!$C$27)^(13-1)</f>
        <v/>
      </c>
      <c r="K18" s="123">
        <f>K17+J18</f>
        <v/>
      </c>
      <c r="L18" s="123">
        <f>K18-COMPARATIVO!E$34</f>
        <v/>
      </c>
      <c r="M18" s="123">
        <f>ECONOMIA!F$26*C18/$C$6*(1+ENTRADAS!$C$27)^(13-1)</f>
        <v/>
      </c>
      <c r="N18" s="123">
        <f>N17+M18</f>
        <v/>
      </c>
      <c r="O18" s="123">
        <f>N18-COMPARATIVO!F$34</f>
        <v/>
      </c>
      <c r="P18" s="123">
        <f>ECONOMIA!G$26*C18/$C$6*(1+ENTRADAS!$C$27)^(13-1)</f>
        <v/>
      </c>
      <c r="Q18" s="123">
        <f>Q17+P18</f>
        <v/>
      </c>
      <c r="R18" s="123">
        <f>Q18-COMPARATIVO!G$34</f>
        <v/>
      </c>
      <c r="S18" s="123">
        <f>ECONOMIA!H$26*C18/$C$6*(1+ENTRADAS!$C$27)^(13-1)</f>
        <v/>
      </c>
      <c r="T18" s="123">
        <f>T17+S18</f>
        <v/>
      </c>
      <c r="U18" s="123">
        <f>T18-COMPARATIVO!H$34</f>
        <v/>
      </c>
      <c r="V18" s="123">
        <f>ECONOMIA!I$26*C18/$C$6*(1+ENTRADAS!$C$27)^(13-1)</f>
        <v/>
      </c>
      <c r="W18" s="123">
        <f>W17+V18</f>
        <v/>
      </c>
      <c r="X18" s="123">
        <f>W18-COMPARATIVO!I$34</f>
        <v/>
      </c>
      <c r="Y18" s="123">
        <f>ECONOMIA!J$26*C18/$C$6*(1+ENTRADAS!$C$27)^(13-1)</f>
        <v/>
      </c>
      <c r="Z18" s="123">
        <f>Z17+Y18</f>
        <v/>
      </c>
      <c r="AA18" s="123">
        <f>Z18-COMPARATIVO!J$34</f>
        <v/>
      </c>
      <c r="AB18" s="123">
        <f>ECONOMIA!K$26*C18/$C$6*(1+ENTRADAS!$C$27)^(13-1)</f>
        <v/>
      </c>
      <c r="AC18" s="123">
        <f>AC17+AB18</f>
        <v/>
      </c>
      <c r="AD18" s="123">
        <f>AC18-COMPARATIVO!K$34</f>
        <v/>
      </c>
      <c r="AE18" s="123">
        <f>ECONOMIA!L$26*C18/$C$6*(1+ENTRADAS!$C$27)^(13-1)</f>
        <v/>
      </c>
      <c r="AF18" s="123">
        <f>AF17+AE18</f>
        <v/>
      </c>
      <c r="AG18" s="123">
        <f>AF18-COMPARATIVO!L$34</f>
        <v/>
      </c>
      <c r="AH18" s="123">
        <f>ECONOMIA!M$26*C18/$C$6*(1+ENTRADAS!$C$27)^(13-1)</f>
        <v/>
      </c>
      <c r="AI18" s="123">
        <f>AI17+AH18</f>
        <v/>
      </c>
      <c r="AJ18" s="123">
        <f>AI18-COMPARATIVO!M$34</f>
        <v/>
      </c>
      <c r="AK18" s="123">
        <f>ECONOMIA!N$26*C18/$C$6*(1+ENTRADAS!$C$27)^(13-1)</f>
        <v/>
      </c>
      <c r="AL18" s="123">
        <f>AL17+AK18</f>
        <v/>
      </c>
      <c r="AM18" s="123">
        <f>AL18-COMPARATIVO!N$34</f>
        <v/>
      </c>
    </row>
    <row r="19">
      <c r="B19" s="122" t="n">
        <v>14</v>
      </c>
      <c r="C19" s="40">
        <f>(1-ENTRADAS!$C$33)*(1-ENTRADAS!$C$34)^(14-1)</f>
        <v/>
      </c>
      <c r="D19" s="123">
        <f>ECONOMIA!C$26*C19/$C$6*(1+ENTRADAS!$C$27)^(14-1)</f>
        <v/>
      </c>
      <c r="E19" s="123">
        <f>E18+D19</f>
        <v/>
      </c>
      <c r="F19" s="123">
        <f>E19-COMPARATIVO!C$34</f>
        <v/>
      </c>
      <c r="G19" s="123">
        <f>ECONOMIA!D$26*C19/$C$6*(1+ENTRADAS!$C$27)^(14-1)</f>
        <v/>
      </c>
      <c r="H19" s="123">
        <f>H18+G19</f>
        <v/>
      </c>
      <c r="I19" s="123">
        <f>H19-COMPARATIVO!D$34</f>
        <v/>
      </c>
      <c r="J19" s="123">
        <f>ECONOMIA!E$26*C19/$C$6*(1+ENTRADAS!$C$27)^(14-1)</f>
        <v/>
      </c>
      <c r="K19" s="123">
        <f>K18+J19</f>
        <v/>
      </c>
      <c r="L19" s="123">
        <f>K19-COMPARATIVO!E$34</f>
        <v/>
      </c>
      <c r="M19" s="123">
        <f>ECONOMIA!F$26*C19/$C$6*(1+ENTRADAS!$C$27)^(14-1)</f>
        <v/>
      </c>
      <c r="N19" s="123">
        <f>N18+M19</f>
        <v/>
      </c>
      <c r="O19" s="123">
        <f>N19-COMPARATIVO!F$34</f>
        <v/>
      </c>
      <c r="P19" s="123">
        <f>ECONOMIA!G$26*C19/$C$6*(1+ENTRADAS!$C$27)^(14-1)</f>
        <v/>
      </c>
      <c r="Q19" s="123">
        <f>Q18+P19</f>
        <v/>
      </c>
      <c r="R19" s="123">
        <f>Q19-COMPARATIVO!G$34</f>
        <v/>
      </c>
      <c r="S19" s="123">
        <f>ECONOMIA!H$26*C19/$C$6*(1+ENTRADAS!$C$27)^(14-1)</f>
        <v/>
      </c>
      <c r="T19" s="123">
        <f>T18+S19</f>
        <v/>
      </c>
      <c r="U19" s="123">
        <f>T19-COMPARATIVO!H$34</f>
        <v/>
      </c>
      <c r="V19" s="123">
        <f>ECONOMIA!I$26*C19/$C$6*(1+ENTRADAS!$C$27)^(14-1)</f>
        <v/>
      </c>
      <c r="W19" s="123">
        <f>W18+V19</f>
        <v/>
      </c>
      <c r="X19" s="123">
        <f>W19-COMPARATIVO!I$34</f>
        <v/>
      </c>
      <c r="Y19" s="123">
        <f>ECONOMIA!J$26*C19/$C$6*(1+ENTRADAS!$C$27)^(14-1)</f>
        <v/>
      </c>
      <c r="Z19" s="123">
        <f>Z18+Y19</f>
        <v/>
      </c>
      <c r="AA19" s="123">
        <f>Z19-COMPARATIVO!J$34</f>
        <v/>
      </c>
      <c r="AB19" s="123">
        <f>ECONOMIA!K$26*C19/$C$6*(1+ENTRADAS!$C$27)^(14-1)</f>
        <v/>
      </c>
      <c r="AC19" s="123">
        <f>AC18+AB19</f>
        <v/>
      </c>
      <c r="AD19" s="123">
        <f>AC19-COMPARATIVO!K$34</f>
        <v/>
      </c>
      <c r="AE19" s="123">
        <f>ECONOMIA!L$26*C19/$C$6*(1+ENTRADAS!$C$27)^(14-1)</f>
        <v/>
      </c>
      <c r="AF19" s="123">
        <f>AF18+AE19</f>
        <v/>
      </c>
      <c r="AG19" s="123">
        <f>AF19-COMPARATIVO!L$34</f>
        <v/>
      </c>
      <c r="AH19" s="123">
        <f>ECONOMIA!M$26*C19/$C$6*(1+ENTRADAS!$C$27)^(14-1)</f>
        <v/>
      </c>
      <c r="AI19" s="123">
        <f>AI18+AH19</f>
        <v/>
      </c>
      <c r="AJ19" s="123">
        <f>AI19-COMPARATIVO!M$34</f>
        <v/>
      </c>
      <c r="AK19" s="123">
        <f>ECONOMIA!N$26*C19/$C$6*(1+ENTRADAS!$C$27)^(14-1)</f>
        <v/>
      </c>
      <c r="AL19" s="123">
        <f>AL18+AK19</f>
        <v/>
      </c>
      <c r="AM19" s="123">
        <f>AL19-COMPARATIVO!N$34</f>
        <v/>
      </c>
    </row>
    <row r="20">
      <c r="B20" s="122" t="n">
        <v>15</v>
      </c>
      <c r="C20" s="40">
        <f>(1-ENTRADAS!$C$33)*(1-ENTRADAS!$C$34)^(15-1)</f>
        <v/>
      </c>
      <c r="D20" s="123">
        <f>ECONOMIA!C$26*C20/$C$6*(1+ENTRADAS!$C$27)^(15-1)</f>
        <v/>
      </c>
      <c r="E20" s="123">
        <f>E19+D20</f>
        <v/>
      </c>
      <c r="F20" s="123">
        <f>E20-COMPARATIVO!C$34</f>
        <v/>
      </c>
      <c r="G20" s="123">
        <f>ECONOMIA!D$26*C20/$C$6*(1+ENTRADAS!$C$27)^(15-1)</f>
        <v/>
      </c>
      <c r="H20" s="123">
        <f>H19+G20</f>
        <v/>
      </c>
      <c r="I20" s="123">
        <f>H20-COMPARATIVO!D$34</f>
        <v/>
      </c>
      <c r="J20" s="123">
        <f>ECONOMIA!E$26*C20/$C$6*(1+ENTRADAS!$C$27)^(15-1)</f>
        <v/>
      </c>
      <c r="K20" s="123">
        <f>K19+J20</f>
        <v/>
      </c>
      <c r="L20" s="123">
        <f>K20-COMPARATIVO!E$34</f>
        <v/>
      </c>
      <c r="M20" s="123">
        <f>ECONOMIA!F$26*C20/$C$6*(1+ENTRADAS!$C$27)^(15-1)</f>
        <v/>
      </c>
      <c r="N20" s="123">
        <f>N19+M20</f>
        <v/>
      </c>
      <c r="O20" s="123">
        <f>N20-COMPARATIVO!F$34</f>
        <v/>
      </c>
      <c r="P20" s="123">
        <f>ECONOMIA!G$26*C20/$C$6*(1+ENTRADAS!$C$27)^(15-1)</f>
        <v/>
      </c>
      <c r="Q20" s="123">
        <f>Q19+P20</f>
        <v/>
      </c>
      <c r="R20" s="123">
        <f>Q20-COMPARATIVO!G$34</f>
        <v/>
      </c>
      <c r="S20" s="123">
        <f>ECONOMIA!H$26*C20/$C$6*(1+ENTRADAS!$C$27)^(15-1)</f>
        <v/>
      </c>
      <c r="T20" s="123">
        <f>T19+S20</f>
        <v/>
      </c>
      <c r="U20" s="123">
        <f>T20-COMPARATIVO!H$34</f>
        <v/>
      </c>
      <c r="V20" s="123">
        <f>ECONOMIA!I$26*C20/$C$6*(1+ENTRADAS!$C$27)^(15-1)</f>
        <v/>
      </c>
      <c r="W20" s="123">
        <f>W19+V20</f>
        <v/>
      </c>
      <c r="X20" s="123">
        <f>W20-COMPARATIVO!I$34</f>
        <v/>
      </c>
      <c r="Y20" s="123">
        <f>ECONOMIA!J$26*C20/$C$6*(1+ENTRADAS!$C$27)^(15-1)</f>
        <v/>
      </c>
      <c r="Z20" s="123">
        <f>Z19+Y20</f>
        <v/>
      </c>
      <c r="AA20" s="123">
        <f>Z20-COMPARATIVO!J$34</f>
        <v/>
      </c>
      <c r="AB20" s="123">
        <f>ECONOMIA!K$26*C20/$C$6*(1+ENTRADAS!$C$27)^(15-1)</f>
        <v/>
      </c>
      <c r="AC20" s="123">
        <f>AC19+AB20</f>
        <v/>
      </c>
      <c r="AD20" s="123">
        <f>AC20-COMPARATIVO!K$34</f>
        <v/>
      </c>
      <c r="AE20" s="123">
        <f>ECONOMIA!L$26*C20/$C$6*(1+ENTRADAS!$C$27)^(15-1)</f>
        <v/>
      </c>
      <c r="AF20" s="123">
        <f>AF19+AE20</f>
        <v/>
      </c>
      <c r="AG20" s="123">
        <f>AF20-COMPARATIVO!L$34</f>
        <v/>
      </c>
      <c r="AH20" s="123">
        <f>ECONOMIA!M$26*C20/$C$6*(1+ENTRADAS!$C$27)^(15-1)</f>
        <v/>
      </c>
      <c r="AI20" s="123">
        <f>AI19+AH20</f>
        <v/>
      </c>
      <c r="AJ20" s="123">
        <f>AI20-COMPARATIVO!M$34</f>
        <v/>
      </c>
      <c r="AK20" s="123">
        <f>ECONOMIA!N$26*C20/$C$6*(1+ENTRADAS!$C$27)^(15-1)</f>
        <v/>
      </c>
      <c r="AL20" s="123">
        <f>AL19+AK20</f>
        <v/>
      </c>
      <c r="AM20" s="123">
        <f>AL20-COMPARATIVO!N$34</f>
        <v/>
      </c>
    </row>
    <row r="21">
      <c r="B21" s="122" t="n">
        <v>16</v>
      </c>
      <c r="C21" s="40">
        <f>(1-ENTRADAS!$C$33)*(1-ENTRADAS!$C$34)^(16-1)</f>
        <v/>
      </c>
      <c r="D21" s="123">
        <f>ECONOMIA!C$26*C21/$C$6*(1+ENTRADAS!$C$27)^(16-1)</f>
        <v/>
      </c>
      <c r="E21" s="123">
        <f>E20+D21</f>
        <v/>
      </c>
      <c r="F21" s="123">
        <f>E21-COMPARATIVO!C$34</f>
        <v/>
      </c>
      <c r="G21" s="123">
        <f>ECONOMIA!D$26*C21/$C$6*(1+ENTRADAS!$C$27)^(16-1)</f>
        <v/>
      </c>
      <c r="H21" s="123">
        <f>H20+G21</f>
        <v/>
      </c>
      <c r="I21" s="123">
        <f>H21-COMPARATIVO!D$34</f>
        <v/>
      </c>
      <c r="J21" s="123">
        <f>ECONOMIA!E$26*C21/$C$6*(1+ENTRADAS!$C$27)^(16-1)</f>
        <v/>
      </c>
      <c r="K21" s="123">
        <f>K20+J21</f>
        <v/>
      </c>
      <c r="L21" s="123">
        <f>K21-COMPARATIVO!E$34</f>
        <v/>
      </c>
      <c r="M21" s="123">
        <f>ECONOMIA!F$26*C21/$C$6*(1+ENTRADAS!$C$27)^(16-1)</f>
        <v/>
      </c>
      <c r="N21" s="123">
        <f>N20+M21</f>
        <v/>
      </c>
      <c r="O21" s="123">
        <f>N21-COMPARATIVO!F$34</f>
        <v/>
      </c>
      <c r="P21" s="123">
        <f>ECONOMIA!G$26*C21/$C$6*(1+ENTRADAS!$C$27)^(16-1)</f>
        <v/>
      </c>
      <c r="Q21" s="123">
        <f>Q20+P21</f>
        <v/>
      </c>
      <c r="R21" s="123">
        <f>Q21-COMPARATIVO!G$34</f>
        <v/>
      </c>
      <c r="S21" s="123">
        <f>ECONOMIA!H$26*C21/$C$6*(1+ENTRADAS!$C$27)^(16-1)</f>
        <v/>
      </c>
      <c r="T21" s="123">
        <f>T20+S21</f>
        <v/>
      </c>
      <c r="U21" s="123">
        <f>T21-COMPARATIVO!H$34</f>
        <v/>
      </c>
      <c r="V21" s="123">
        <f>ECONOMIA!I$26*C21/$C$6*(1+ENTRADAS!$C$27)^(16-1)</f>
        <v/>
      </c>
      <c r="W21" s="123">
        <f>W20+V21</f>
        <v/>
      </c>
      <c r="X21" s="123">
        <f>W21-COMPARATIVO!I$34</f>
        <v/>
      </c>
      <c r="Y21" s="123">
        <f>ECONOMIA!J$26*C21/$C$6*(1+ENTRADAS!$C$27)^(16-1)</f>
        <v/>
      </c>
      <c r="Z21" s="123">
        <f>Z20+Y21</f>
        <v/>
      </c>
      <c r="AA21" s="123">
        <f>Z21-COMPARATIVO!J$34</f>
        <v/>
      </c>
      <c r="AB21" s="123">
        <f>ECONOMIA!K$26*C21/$C$6*(1+ENTRADAS!$C$27)^(16-1)</f>
        <v/>
      </c>
      <c r="AC21" s="123">
        <f>AC20+AB21</f>
        <v/>
      </c>
      <c r="AD21" s="123">
        <f>AC21-COMPARATIVO!K$34</f>
        <v/>
      </c>
      <c r="AE21" s="123">
        <f>ECONOMIA!L$26*C21/$C$6*(1+ENTRADAS!$C$27)^(16-1)</f>
        <v/>
      </c>
      <c r="AF21" s="123">
        <f>AF20+AE21</f>
        <v/>
      </c>
      <c r="AG21" s="123">
        <f>AF21-COMPARATIVO!L$34</f>
        <v/>
      </c>
      <c r="AH21" s="123">
        <f>ECONOMIA!M$26*C21/$C$6*(1+ENTRADAS!$C$27)^(16-1)</f>
        <v/>
      </c>
      <c r="AI21" s="123">
        <f>AI20+AH21</f>
        <v/>
      </c>
      <c r="AJ21" s="123">
        <f>AI21-COMPARATIVO!M$34</f>
        <v/>
      </c>
      <c r="AK21" s="123">
        <f>ECONOMIA!N$26*C21/$C$6*(1+ENTRADAS!$C$27)^(16-1)</f>
        <v/>
      </c>
      <c r="AL21" s="123">
        <f>AL20+AK21</f>
        <v/>
      </c>
      <c r="AM21" s="123">
        <f>AL21-COMPARATIVO!N$34</f>
        <v/>
      </c>
    </row>
    <row r="22">
      <c r="B22" s="122" t="n">
        <v>17</v>
      </c>
      <c r="C22" s="40">
        <f>(1-ENTRADAS!$C$33)*(1-ENTRADAS!$C$34)^(17-1)</f>
        <v/>
      </c>
      <c r="D22" s="123">
        <f>ECONOMIA!C$26*C22/$C$6*(1+ENTRADAS!$C$27)^(17-1)</f>
        <v/>
      </c>
      <c r="E22" s="123">
        <f>E21+D22</f>
        <v/>
      </c>
      <c r="F22" s="123">
        <f>E22-COMPARATIVO!C$34</f>
        <v/>
      </c>
      <c r="G22" s="123">
        <f>ECONOMIA!D$26*C22/$C$6*(1+ENTRADAS!$C$27)^(17-1)</f>
        <v/>
      </c>
      <c r="H22" s="123">
        <f>H21+G22</f>
        <v/>
      </c>
      <c r="I22" s="123">
        <f>H22-COMPARATIVO!D$34</f>
        <v/>
      </c>
      <c r="J22" s="123">
        <f>ECONOMIA!E$26*C22/$C$6*(1+ENTRADAS!$C$27)^(17-1)</f>
        <v/>
      </c>
      <c r="K22" s="123">
        <f>K21+J22</f>
        <v/>
      </c>
      <c r="L22" s="123">
        <f>K22-COMPARATIVO!E$34</f>
        <v/>
      </c>
      <c r="M22" s="123">
        <f>ECONOMIA!F$26*C22/$C$6*(1+ENTRADAS!$C$27)^(17-1)</f>
        <v/>
      </c>
      <c r="N22" s="123">
        <f>N21+M22</f>
        <v/>
      </c>
      <c r="O22" s="123">
        <f>N22-COMPARATIVO!F$34</f>
        <v/>
      </c>
      <c r="P22" s="123">
        <f>ECONOMIA!G$26*C22/$C$6*(1+ENTRADAS!$C$27)^(17-1)</f>
        <v/>
      </c>
      <c r="Q22" s="123">
        <f>Q21+P22</f>
        <v/>
      </c>
      <c r="R22" s="123">
        <f>Q22-COMPARATIVO!G$34</f>
        <v/>
      </c>
      <c r="S22" s="123">
        <f>ECONOMIA!H$26*C22/$C$6*(1+ENTRADAS!$C$27)^(17-1)</f>
        <v/>
      </c>
      <c r="T22" s="123">
        <f>T21+S22</f>
        <v/>
      </c>
      <c r="U22" s="123">
        <f>T22-COMPARATIVO!H$34</f>
        <v/>
      </c>
      <c r="V22" s="123">
        <f>ECONOMIA!I$26*C22/$C$6*(1+ENTRADAS!$C$27)^(17-1)</f>
        <v/>
      </c>
      <c r="W22" s="123">
        <f>W21+V22</f>
        <v/>
      </c>
      <c r="X22" s="123">
        <f>W22-COMPARATIVO!I$34</f>
        <v/>
      </c>
      <c r="Y22" s="123">
        <f>ECONOMIA!J$26*C22/$C$6*(1+ENTRADAS!$C$27)^(17-1)</f>
        <v/>
      </c>
      <c r="Z22" s="123">
        <f>Z21+Y22</f>
        <v/>
      </c>
      <c r="AA22" s="123">
        <f>Z22-COMPARATIVO!J$34</f>
        <v/>
      </c>
      <c r="AB22" s="123">
        <f>ECONOMIA!K$26*C22/$C$6*(1+ENTRADAS!$C$27)^(17-1)</f>
        <v/>
      </c>
      <c r="AC22" s="123">
        <f>AC21+AB22</f>
        <v/>
      </c>
      <c r="AD22" s="123">
        <f>AC22-COMPARATIVO!K$34</f>
        <v/>
      </c>
      <c r="AE22" s="123">
        <f>ECONOMIA!L$26*C22/$C$6*(1+ENTRADAS!$C$27)^(17-1)</f>
        <v/>
      </c>
      <c r="AF22" s="123">
        <f>AF21+AE22</f>
        <v/>
      </c>
      <c r="AG22" s="123">
        <f>AF22-COMPARATIVO!L$34</f>
        <v/>
      </c>
      <c r="AH22" s="123">
        <f>ECONOMIA!M$26*C22/$C$6*(1+ENTRADAS!$C$27)^(17-1)</f>
        <v/>
      </c>
      <c r="AI22" s="123">
        <f>AI21+AH22</f>
        <v/>
      </c>
      <c r="AJ22" s="123">
        <f>AI22-COMPARATIVO!M$34</f>
        <v/>
      </c>
      <c r="AK22" s="123">
        <f>ECONOMIA!N$26*C22/$C$6*(1+ENTRADAS!$C$27)^(17-1)</f>
        <v/>
      </c>
      <c r="AL22" s="123">
        <f>AL21+AK22</f>
        <v/>
      </c>
      <c r="AM22" s="123">
        <f>AL22-COMPARATIVO!N$34</f>
        <v/>
      </c>
    </row>
    <row r="23">
      <c r="B23" s="122" t="n">
        <v>18</v>
      </c>
      <c r="C23" s="40">
        <f>(1-ENTRADAS!$C$33)*(1-ENTRADAS!$C$34)^(18-1)</f>
        <v/>
      </c>
      <c r="D23" s="123">
        <f>ECONOMIA!C$26*C23/$C$6*(1+ENTRADAS!$C$27)^(18-1)</f>
        <v/>
      </c>
      <c r="E23" s="123">
        <f>E22+D23</f>
        <v/>
      </c>
      <c r="F23" s="123">
        <f>E23-COMPARATIVO!C$34</f>
        <v/>
      </c>
      <c r="G23" s="123">
        <f>ECONOMIA!D$26*C23/$C$6*(1+ENTRADAS!$C$27)^(18-1)</f>
        <v/>
      </c>
      <c r="H23" s="123">
        <f>H22+G23</f>
        <v/>
      </c>
      <c r="I23" s="123">
        <f>H23-COMPARATIVO!D$34</f>
        <v/>
      </c>
      <c r="J23" s="123">
        <f>ECONOMIA!E$26*C23/$C$6*(1+ENTRADAS!$C$27)^(18-1)</f>
        <v/>
      </c>
      <c r="K23" s="123">
        <f>K22+J23</f>
        <v/>
      </c>
      <c r="L23" s="123">
        <f>K23-COMPARATIVO!E$34</f>
        <v/>
      </c>
      <c r="M23" s="123">
        <f>ECONOMIA!F$26*C23/$C$6*(1+ENTRADAS!$C$27)^(18-1)</f>
        <v/>
      </c>
      <c r="N23" s="123">
        <f>N22+M23</f>
        <v/>
      </c>
      <c r="O23" s="123">
        <f>N23-COMPARATIVO!F$34</f>
        <v/>
      </c>
      <c r="P23" s="123">
        <f>ECONOMIA!G$26*C23/$C$6*(1+ENTRADAS!$C$27)^(18-1)</f>
        <v/>
      </c>
      <c r="Q23" s="123">
        <f>Q22+P23</f>
        <v/>
      </c>
      <c r="R23" s="123">
        <f>Q23-COMPARATIVO!G$34</f>
        <v/>
      </c>
      <c r="S23" s="123">
        <f>ECONOMIA!H$26*C23/$C$6*(1+ENTRADAS!$C$27)^(18-1)</f>
        <v/>
      </c>
      <c r="T23" s="123">
        <f>T22+S23</f>
        <v/>
      </c>
      <c r="U23" s="123">
        <f>T23-COMPARATIVO!H$34</f>
        <v/>
      </c>
      <c r="V23" s="123">
        <f>ECONOMIA!I$26*C23/$C$6*(1+ENTRADAS!$C$27)^(18-1)</f>
        <v/>
      </c>
      <c r="W23" s="123">
        <f>W22+V23</f>
        <v/>
      </c>
      <c r="X23" s="123">
        <f>W23-COMPARATIVO!I$34</f>
        <v/>
      </c>
      <c r="Y23" s="123">
        <f>ECONOMIA!J$26*C23/$C$6*(1+ENTRADAS!$C$27)^(18-1)</f>
        <v/>
      </c>
      <c r="Z23" s="123">
        <f>Z22+Y23</f>
        <v/>
      </c>
      <c r="AA23" s="123">
        <f>Z23-COMPARATIVO!J$34</f>
        <v/>
      </c>
      <c r="AB23" s="123">
        <f>ECONOMIA!K$26*C23/$C$6*(1+ENTRADAS!$C$27)^(18-1)</f>
        <v/>
      </c>
      <c r="AC23" s="123">
        <f>AC22+AB23</f>
        <v/>
      </c>
      <c r="AD23" s="123">
        <f>AC23-COMPARATIVO!K$34</f>
        <v/>
      </c>
      <c r="AE23" s="123">
        <f>ECONOMIA!L$26*C23/$C$6*(1+ENTRADAS!$C$27)^(18-1)</f>
        <v/>
      </c>
      <c r="AF23" s="123">
        <f>AF22+AE23</f>
        <v/>
      </c>
      <c r="AG23" s="123">
        <f>AF23-COMPARATIVO!L$34</f>
        <v/>
      </c>
      <c r="AH23" s="123">
        <f>ECONOMIA!M$26*C23/$C$6*(1+ENTRADAS!$C$27)^(18-1)</f>
        <v/>
      </c>
      <c r="AI23" s="123">
        <f>AI22+AH23</f>
        <v/>
      </c>
      <c r="AJ23" s="123">
        <f>AI23-COMPARATIVO!M$34</f>
        <v/>
      </c>
      <c r="AK23" s="123">
        <f>ECONOMIA!N$26*C23/$C$6*(1+ENTRADAS!$C$27)^(18-1)</f>
        <v/>
      </c>
      <c r="AL23" s="123">
        <f>AL22+AK23</f>
        <v/>
      </c>
      <c r="AM23" s="123">
        <f>AL23-COMPARATIVO!N$34</f>
        <v/>
      </c>
    </row>
    <row r="24">
      <c r="B24" s="122" t="n">
        <v>19</v>
      </c>
      <c r="C24" s="40">
        <f>(1-ENTRADAS!$C$33)*(1-ENTRADAS!$C$34)^(19-1)</f>
        <v/>
      </c>
      <c r="D24" s="123">
        <f>ECONOMIA!C$26*C24/$C$6*(1+ENTRADAS!$C$27)^(19-1)</f>
        <v/>
      </c>
      <c r="E24" s="123">
        <f>E23+D24</f>
        <v/>
      </c>
      <c r="F24" s="123">
        <f>E24-COMPARATIVO!C$34</f>
        <v/>
      </c>
      <c r="G24" s="123">
        <f>ECONOMIA!D$26*C24/$C$6*(1+ENTRADAS!$C$27)^(19-1)</f>
        <v/>
      </c>
      <c r="H24" s="123">
        <f>H23+G24</f>
        <v/>
      </c>
      <c r="I24" s="123">
        <f>H24-COMPARATIVO!D$34</f>
        <v/>
      </c>
      <c r="J24" s="123">
        <f>ECONOMIA!E$26*C24/$C$6*(1+ENTRADAS!$C$27)^(19-1)</f>
        <v/>
      </c>
      <c r="K24" s="123">
        <f>K23+J24</f>
        <v/>
      </c>
      <c r="L24" s="123">
        <f>K24-COMPARATIVO!E$34</f>
        <v/>
      </c>
      <c r="M24" s="123">
        <f>ECONOMIA!F$26*C24/$C$6*(1+ENTRADAS!$C$27)^(19-1)</f>
        <v/>
      </c>
      <c r="N24" s="123">
        <f>N23+M24</f>
        <v/>
      </c>
      <c r="O24" s="123">
        <f>N24-COMPARATIVO!F$34</f>
        <v/>
      </c>
      <c r="P24" s="123">
        <f>ECONOMIA!G$26*C24/$C$6*(1+ENTRADAS!$C$27)^(19-1)</f>
        <v/>
      </c>
      <c r="Q24" s="123">
        <f>Q23+P24</f>
        <v/>
      </c>
      <c r="R24" s="123">
        <f>Q24-COMPARATIVO!G$34</f>
        <v/>
      </c>
      <c r="S24" s="123">
        <f>ECONOMIA!H$26*C24/$C$6*(1+ENTRADAS!$C$27)^(19-1)</f>
        <v/>
      </c>
      <c r="T24" s="123">
        <f>T23+S24</f>
        <v/>
      </c>
      <c r="U24" s="123">
        <f>T24-COMPARATIVO!H$34</f>
        <v/>
      </c>
      <c r="V24" s="123">
        <f>ECONOMIA!I$26*C24/$C$6*(1+ENTRADAS!$C$27)^(19-1)</f>
        <v/>
      </c>
      <c r="W24" s="123">
        <f>W23+V24</f>
        <v/>
      </c>
      <c r="X24" s="123">
        <f>W24-COMPARATIVO!I$34</f>
        <v/>
      </c>
      <c r="Y24" s="123">
        <f>ECONOMIA!J$26*C24/$C$6*(1+ENTRADAS!$C$27)^(19-1)</f>
        <v/>
      </c>
      <c r="Z24" s="123">
        <f>Z23+Y24</f>
        <v/>
      </c>
      <c r="AA24" s="123">
        <f>Z24-COMPARATIVO!J$34</f>
        <v/>
      </c>
      <c r="AB24" s="123">
        <f>ECONOMIA!K$26*C24/$C$6*(1+ENTRADAS!$C$27)^(19-1)</f>
        <v/>
      </c>
      <c r="AC24" s="123">
        <f>AC23+AB24</f>
        <v/>
      </c>
      <c r="AD24" s="123">
        <f>AC24-COMPARATIVO!K$34</f>
        <v/>
      </c>
      <c r="AE24" s="123">
        <f>ECONOMIA!L$26*C24/$C$6*(1+ENTRADAS!$C$27)^(19-1)</f>
        <v/>
      </c>
      <c r="AF24" s="123">
        <f>AF23+AE24</f>
        <v/>
      </c>
      <c r="AG24" s="123">
        <f>AF24-COMPARATIVO!L$34</f>
        <v/>
      </c>
      <c r="AH24" s="123">
        <f>ECONOMIA!M$26*C24/$C$6*(1+ENTRADAS!$C$27)^(19-1)</f>
        <v/>
      </c>
      <c r="AI24" s="123">
        <f>AI23+AH24</f>
        <v/>
      </c>
      <c r="AJ24" s="123">
        <f>AI24-COMPARATIVO!M$34</f>
        <v/>
      </c>
      <c r="AK24" s="123">
        <f>ECONOMIA!N$26*C24/$C$6*(1+ENTRADAS!$C$27)^(19-1)</f>
        <v/>
      </c>
      <c r="AL24" s="123">
        <f>AL23+AK24</f>
        <v/>
      </c>
      <c r="AM24" s="123">
        <f>AL24-COMPARATIVO!N$34</f>
        <v/>
      </c>
    </row>
    <row r="25">
      <c r="B25" s="124" t="n">
        <v>20</v>
      </c>
      <c r="C25" s="125">
        <f>(1-ENTRADAS!$C$33)*(1-ENTRADAS!$C$34)^(20-1)</f>
        <v/>
      </c>
      <c r="D25" s="126">
        <f>ECONOMIA!C$26*C25/$C$6*(1+ENTRADAS!$C$27)^(20-1)</f>
        <v/>
      </c>
      <c r="E25" s="126">
        <f>E24+D25</f>
        <v/>
      </c>
      <c r="F25" s="126">
        <f>E25-COMPARATIVO!C$34</f>
        <v/>
      </c>
      <c r="G25" s="126">
        <f>ECONOMIA!D$26*C25/$C$6*(1+ENTRADAS!$C$27)^(20-1)</f>
        <v/>
      </c>
      <c r="H25" s="126">
        <f>H24+G25</f>
        <v/>
      </c>
      <c r="I25" s="126">
        <f>H25-COMPARATIVO!D$34</f>
        <v/>
      </c>
      <c r="J25" s="126">
        <f>ECONOMIA!E$26*C25/$C$6*(1+ENTRADAS!$C$27)^(20-1)</f>
        <v/>
      </c>
      <c r="K25" s="126">
        <f>K24+J25</f>
        <v/>
      </c>
      <c r="L25" s="126">
        <f>K25-COMPARATIVO!E$34</f>
        <v/>
      </c>
      <c r="M25" s="126">
        <f>ECONOMIA!F$26*C25/$C$6*(1+ENTRADAS!$C$27)^(20-1)</f>
        <v/>
      </c>
      <c r="N25" s="126">
        <f>N24+M25</f>
        <v/>
      </c>
      <c r="O25" s="126">
        <f>N25-COMPARATIVO!F$34</f>
        <v/>
      </c>
      <c r="P25" s="126">
        <f>ECONOMIA!G$26*C25/$C$6*(1+ENTRADAS!$C$27)^(20-1)</f>
        <v/>
      </c>
      <c r="Q25" s="126">
        <f>Q24+P25</f>
        <v/>
      </c>
      <c r="R25" s="126">
        <f>Q25-COMPARATIVO!G$34</f>
        <v/>
      </c>
      <c r="S25" s="126">
        <f>ECONOMIA!H$26*C25/$C$6*(1+ENTRADAS!$C$27)^(20-1)</f>
        <v/>
      </c>
      <c r="T25" s="126">
        <f>T24+S25</f>
        <v/>
      </c>
      <c r="U25" s="126">
        <f>T25-COMPARATIVO!H$34</f>
        <v/>
      </c>
      <c r="V25" s="126">
        <f>ECONOMIA!I$26*C25/$C$6*(1+ENTRADAS!$C$27)^(20-1)</f>
        <v/>
      </c>
      <c r="W25" s="126">
        <f>W24+V25</f>
        <v/>
      </c>
      <c r="X25" s="126">
        <f>W25-COMPARATIVO!I$34</f>
        <v/>
      </c>
      <c r="Y25" s="126">
        <f>ECONOMIA!J$26*C25/$C$6*(1+ENTRADAS!$C$27)^(20-1)</f>
        <v/>
      </c>
      <c r="Z25" s="126">
        <f>Z24+Y25</f>
        <v/>
      </c>
      <c r="AA25" s="126">
        <f>Z25-COMPARATIVO!J$34</f>
        <v/>
      </c>
      <c r="AB25" s="126">
        <f>ECONOMIA!K$26*C25/$C$6*(1+ENTRADAS!$C$27)^(20-1)</f>
        <v/>
      </c>
      <c r="AC25" s="126">
        <f>AC24+AB25</f>
        <v/>
      </c>
      <c r="AD25" s="126">
        <f>AC25-COMPARATIVO!K$34</f>
        <v/>
      </c>
      <c r="AE25" s="126">
        <f>ECONOMIA!L$26*C25/$C$6*(1+ENTRADAS!$C$27)^(20-1)</f>
        <v/>
      </c>
      <c r="AF25" s="126">
        <f>AF24+AE25</f>
        <v/>
      </c>
      <c r="AG25" s="126">
        <f>AF25-COMPARATIVO!L$34</f>
        <v/>
      </c>
      <c r="AH25" s="126">
        <f>ECONOMIA!M$26*C25/$C$6*(1+ENTRADAS!$C$27)^(20-1)</f>
        <v/>
      </c>
      <c r="AI25" s="126">
        <f>AI24+AH25</f>
        <v/>
      </c>
      <c r="AJ25" s="126">
        <f>AI25-COMPARATIVO!M$34</f>
        <v/>
      </c>
      <c r="AK25" s="126">
        <f>ECONOMIA!N$26*C25/$C$6*(1+ENTRADAS!$C$27)^(20-1)</f>
        <v/>
      </c>
      <c r="AL25" s="126">
        <f>AL24+AK25</f>
        <v/>
      </c>
      <c r="AM25" s="126">
        <f>AL25-COMPARATIVO!N$34</f>
        <v/>
      </c>
    </row>
    <row r="27">
      <c r="B27" s="2" t="inlineStr">
        <is>
          <t>Anos 5, 10 e 20 destacados. As colunas 'Fluxo' viram positivas no ano do payback ja corrigido por inflacao e degradacao.</t>
        </is>
      </c>
    </row>
    <row r="28">
      <c r="B28" s="2" t="inlineStr">
        <is>
          <t>Nao inclui: troca do inversor no ano ~13 (provisionada em R$ 150/ano na aba ECONOMIA), reajustes de bandeira tarifaria,</t>
        </is>
      </c>
    </row>
    <row r="29">
      <c r="B29" s="2" t="inlineStr">
        <is>
          <t>nem a mudanca da regra do Fio B (60% em 2026 -&gt; 100% em 2029), que reduz a economia dos anos seguintes.</t>
        </is>
      </c>
    </row>
    <row r="30">
      <c r="B30" s="5" t="inlineStr">
        <is>
          <t>Por isso o payback real tende a ser um pouco pior que o calculado, e o carregamento diurno do BYD fica cada vez mais vantajoso.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15" customWidth="1" min="3" max="3"/>
    <col width="12" customWidth="1" min="4" max="4"/>
    <col width="14" customWidth="1" min="5" max="5"/>
    <col width="14" customWidth="1" min="6" max="6"/>
    <col width="13" customWidth="1" min="7" max="7"/>
    <col width="17" customWidth="1" min="8" max="8"/>
    <col width="42" customWidth="1" min="9" max="9"/>
  </cols>
  <sheetData>
    <row r="1">
      <c r="A1" s="1" t="inlineStr">
        <is>
          <t>SIMULACAO MES A MES - CONSUMO x GERACAO x BANCO DE CREDITOS</t>
        </is>
      </c>
    </row>
    <row r="2">
      <c r="A2" s="2" t="inlineStr">
        <is>
          <t>Consumo da residencia = historico REAL da conta. Geracao com sazonalidade real (nao e media achatada).</t>
        </is>
      </c>
    </row>
    <row r="4">
      <c r="B4" s="21" t="inlineStr">
        <is>
          <t>Potencia simulada (kWp):</t>
        </is>
      </c>
      <c r="C4" s="16" t="n">
        <v>6.2</v>
      </c>
      <c r="D4" s="2" t="inlineStr">
        <is>
          <t>&lt;- edite para testar outra potencia (6,20 = SunWash / 7,38 = TecSolarSP / 5,35 = William)</t>
        </is>
      </c>
    </row>
    <row r="6">
      <c r="B6" s="17" t="inlineStr">
        <is>
          <t>Mes</t>
        </is>
      </c>
      <c r="C6" s="17" t="inlineStr">
        <is>
          <t>Residencia (kWh)</t>
        </is>
      </c>
      <c r="D6" s="17" t="inlineStr">
        <is>
          <t>BYD (kWh)</t>
        </is>
      </c>
      <c r="E6" s="17" t="inlineStr">
        <is>
          <t>Consumo total (kWh)</t>
        </is>
      </c>
      <c r="F6" s="17" t="inlineStr">
        <is>
          <t>Geracao solar (kWh)</t>
        </is>
      </c>
      <c r="G6" s="17" t="inlineStr">
        <is>
          <t>Saldo do mes (kWh)</t>
        </is>
      </c>
      <c r="H6" s="17" t="inlineStr">
        <is>
          <t>Banco de creditos (kWh)</t>
        </is>
      </c>
      <c r="I6" s="17" t="inlineStr">
        <is>
          <t>Situacao</t>
        </is>
      </c>
    </row>
    <row r="7">
      <c r="B7" s="18" t="inlineStr">
        <is>
          <t>Jan</t>
        </is>
      </c>
      <c r="C7" s="32">
        <f>CONTA!C38</f>
        <v/>
      </c>
      <c r="D7" s="32">
        <f>BYD!$C$13</f>
        <v/>
      </c>
      <c r="E7" s="39">
        <f>C7+D7</f>
        <v/>
      </c>
      <c r="F7" s="39">
        <f>$C$4*GERACAO!I5</f>
        <v/>
      </c>
      <c r="G7" s="39">
        <f>F7-E7</f>
        <v/>
      </c>
      <c r="H7" s="39">
        <f>MAX(0,G7)</f>
        <v/>
      </c>
      <c r="I7" s="18">
        <f>IF(G7&gt;=0,"Sobra - acumula credito","Falta - usa credito ou compra da rede")</f>
        <v/>
      </c>
    </row>
    <row r="8">
      <c r="B8" s="18" t="inlineStr">
        <is>
          <t>Fev</t>
        </is>
      </c>
      <c r="C8" s="32">
        <f>CONTA!C39</f>
        <v/>
      </c>
      <c r="D8" s="32">
        <f>BYD!$C$13</f>
        <v/>
      </c>
      <c r="E8" s="39">
        <f>C8+D8</f>
        <v/>
      </c>
      <c r="F8" s="39">
        <f>$C$4*GERACAO!I6</f>
        <v/>
      </c>
      <c r="G8" s="39">
        <f>F8-E8</f>
        <v/>
      </c>
      <c r="H8" s="39">
        <f>MAX(0,H7+G8)</f>
        <v/>
      </c>
      <c r="I8" s="18">
        <f>IF(G8&gt;=0,"Sobra - acumula credito","Falta - usa credito ou compra da rede")</f>
        <v/>
      </c>
    </row>
    <row r="9">
      <c r="B9" s="18" t="inlineStr">
        <is>
          <t>Mar</t>
        </is>
      </c>
      <c r="C9" s="32">
        <f>CONTA!C40</f>
        <v/>
      </c>
      <c r="D9" s="32">
        <f>BYD!$C$13</f>
        <v/>
      </c>
      <c r="E9" s="39">
        <f>C9+D9</f>
        <v/>
      </c>
      <c r="F9" s="39">
        <f>$C$4*GERACAO!I7</f>
        <v/>
      </c>
      <c r="G9" s="39">
        <f>F9-E9</f>
        <v/>
      </c>
      <c r="H9" s="39">
        <f>MAX(0,H8+G9)</f>
        <v/>
      </c>
      <c r="I9" s="18">
        <f>IF(G9&gt;=0,"Sobra - acumula credito","Falta - usa credito ou compra da rede")</f>
        <v/>
      </c>
    </row>
    <row r="10">
      <c r="B10" s="18" t="inlineStr">
        <is>
          <t>Abr</t>
        </is>
      </c>
      <c r="C10" s="32">
        <f>CONTA!C41</f>
        <v/>
      </c>
      <c r="D10" s="32">
        <f>BYD!$C$13</f>
        <v/>
      </c>
      <c r="E10" s="39">
        <f>C10+D10</f>
        <v/>
      </c>
      <c r="F10" s="39">
        <f>$C$4*GERACAO!I8</f>
        <v/>
      </c>
      <c r="G10" s="39">
        <f>F10-E10</f>
        <v/>
      </c>
      <c r="H10" s="39">
        <f>MAX(0,H9+G10)</f>
        <v/>
      </c>
      <c r="I10" s="18">
        <f>IF(G10&gt;=0,"Sobra - acumula credito","Falta - usa credito ou compra da rede")</f>
        <v/>
      </c>
    </row>
    <row r="11">
      <c r="B11" s="18" t="inlineStr">
        <is>
          <t>Mai</t>
        </is>
      </c>
      <c r="C11" s="32">
        <f>CONTA!C42</f>
        <v/>
      </c>
      <c r="D11" s="32">
        <f>BYD!$C$13</f>
        <v/>
      </c>
      <c r="E11" s="39">
        <f>C11+D11</f>
        <v/>
      </c>
      <c r="F11" s="39">
        <f>$C$4*GERACAO!I9</f>
        <v/>
      </c>
      <c r="G11" s="39">
        <f>F11-E11</f>
        <v/>
      </c>
      <c r="H11" s="39">
        <f>MAX(0,H10+G11)</f>
        <v/>
      </c>
      <c r="I11" s="18">
        <f>IF(G11&gt;=0,"Sobra - acumula credito","Falta - usa credito ou compra da rede")</f>
        <v/>
      </c>
    </row>
    <row r="12">
      <c r="B12" s="18" t="inlineStr">
        <is>
          <t>Jun</t>
        </is>
      </c>
      <c r="C12" s="32">
        <f>CONTA!C43</f>
        <v/>
      </c>
      <c r="D12" s="32">
        <f>BYD!$C$13</f>
        <v/>
      </c>
      <c r="E12" s="39">
        <f>C12+D12</f>
        <v/>
      </c>
      <c r="F12" s="39">
        <f>$C$4*GERACAO!I10</f>
        <v/>
      </c>
      <c r="G12" s="39">
        <f>F12-E12</f>
        <v/>
      </c>
      <c r="H12" s="39">
        <f>MAX(0,H11+G12)</f>
        <v/>
      </c>
      <c r="I12" s="18">
        <f>IF(G12&gt;=0,"Sobra - acumula credito","Falta - usa credito ou compra da rede")</f>
        <v/>
      </c>
    </row>
    <row r="13">
      <c r="B13" s="18" t="inlineStr">
        <is>
          <t>Jul</t>
        </is>
      </c>
      <c r="C13" s="32">
        <f>CONTA!C44</f>
        <v/>
      </c>
      <c r="D13" s="32">
        <f>BYD!$C$13</f>
        <v/>
      </c>
      <c r="E13" s="39">
        <f>C13+D13</f>
        <v/>
      </c>
      <c r="F13" s="39">
        <f>$C$4*GERACAO!I11</f>
        <v/>
      </c>
      <c r="G13" s="39">
        <f>F13-E13</f>
        <v/>
      </c>
      <c r="H13" s="39">
        <f>MAX(0,H12+G13)</f>
        <v/>
      </c>
      <c r="I13" s="18">
        <f>IF(G13&gt;=0,"Sobra - acumula credito","Falta - usa credito ou compra da rede")</f>
        <v/>
      </c>
    </row>
    <row r="14">
      <c r="B14" s="18" t="inlineStr">
        <is>
          <t>Ago</t>
        </is>
      </c>
      <c r="C14" s="32">
        <f>CONTA!C45</f>
        <v/>
      </c>
      <c r="D14" s="32">
        <f>BYD!$C$13</f>
        <v/>
      </c>
      <c r="E14" s="39">
        <f>C14+D14</f>
        <v/>
      </c>
      <c r="F14" s="39">
        <f>$C$4*GERACAO!I12</f>
        <v/>
      </c>
      <c r="G14" s="39">
        <f>F14-E14</f>
        <v/>
      </c>
      <c r="H14" s="39">
        <f>MAX(0,H13+G14)</f>
        <v/>
      </c>
      <c r="I14" s="18">
        <f>IF(G14&gt;=0,"Sobra - acumula credito","Falta - usa credito ou compra da rede")</f>
        <v/>
      </c>
    </row>
    <row r="15">
      <c r="B15" s="18" t="inlineStr">
        <is>
          <t>Set</t>
        </is>
      </c>
      <c r="C15" s="32">
        <f>CONTA!C46</f>
        <v/>
      </c>
      <c r="D15" s="32">
        <f>BYD!$C$13</f>
        <v/>
      </c>
      <c r="E15" s="39">
        <f>C15+D15</f>
        <v/>
      </c>
      <c r="F15" s="39">
        <f>$C$4*GERACAO!I13</f>
        <v/>
      </c>
      <c r="G15" s="39">
        <f>F15-E15</f>
        <v/>
      </c>
      <c r="H15" s="39">
        <f>MAX(0,H14+G15)</f>
        <v/>
      </c>
      <c r="I15" s="18">
        <f>IF(G15&gt;=0,"Sobra - acumula credito","Falta - usa credito ou compra da rede")</f>
        <v/>
      </c>
    </row>
    <row r="16">
      <c r="B16" s="18" t="inlineStr">
        <is>
          <t>Out</t>
        </is>
      </c>
      <c r="C16" s="32">
        <f>CONTA!C47</f>
        <v/>
      </c>
      <c r="D16" s="32">
        <f>BYD!$C$13</f>
        <v/>
      </c>
      <c r="E16" s="39">
        <f>C16+D16</f>
        <v/>
      </c>
      <c r="F16" s="39">
        <f>$C$4*GERACAO!I14</f>
        <v/>
      </c>
      <c r="G16" s="39">
        <f>F16-E16</f>
        <v/>
      </c>
      <c r="H16" s="39">
        <f>MAX(0,H15+G16)</f>
        <v/>
      </c>
      <c r="I16" s="18">
        <f>IF(G16&gt;=0,"Sobra - acumula credito","Falta - usa credito ou compra da rede")</f>
        <v/>
      </c>
    </row>
    <row r="17">
      <c r="B17" s="18" t="inlineStr">
        <is>
          <t>Nov</t>
        </is>
      </c>
      <c r="C17" s="32">
        <f>CONTA!C48</f>
        <v/>
      </c>
      <c r="D17" s="32">
        <f>BYD!$C$13</f>
        <v/>
      </c>
      <c r="E17" s="39">
        <f>C17+D17</f>
        <v/>
      </c>
      <c r="F17" s="39">
        <f>$C$4*GERACAO!I15</f>
        <v/>
      </c>
      <c r="G17" s="39">
        <f>F17-E17</f>
        <v/>
      </c>
      <c r="H17" s="39">
        <f>MAX(0,H16+G17)</f>
        <v/>
      </c>
      <c r="I17" s="18">
        <f>IF(G17&gt;=0,"Sobra - acumula credito","Falta - usa credito ou compra da rede")</f>
        <v/>
      </c>
    </row>
    <row r="18">
      <c r="B18" s="18" t="inlineStr">
        <is>
          <t>Dez</t>
        </is>
      </c>
      <c r="C18" s="32">
        <f>CONTA!C49</f>
        <v/>
      </c>
      <c r="D18" s="32">
        <f>BYD!$C$13</f>
        <v/>
      </c>
      <c r="E18" s="39">
        <f>C18+D18</f>
        <v/>
      </c>
      <c r="F18" s="39">
        <f>$C$4*GERACAO!I16</f>
        <v/>
      </c>
      <c r="G18" s="39">
        <f>F18-E18</f>
        <v/>
      </c>
      <c r="H18" s="39">
        <f>MAX(0,H17+G18)</f>
        <v/>
      </c>
      <c r="I18" s="18">
        <f>IF(G18&gt;=0,"Sobra - acumula credito","Falta - usa credito ou compra da rede")</f>
        <v/>
      </c>
    </row>
    <row r="19">
      <c r="B19" s="21" t="inlineStr">
        <is>
          <t>ANO</t>
        </is>
      </c>
      <c r="C19" s="34">
        <f>SUM(C7:C18)</f>
        <v/>
      </c>
      <c r="D19" s="34">
        <f>SUM(D7:D18)</f>
        <v/>
      </c>
      <c r="E19" s="34">
        <f>SUM(E7:E18)</f>
        <v/>
      </c>
      <c r="F19" s="34">
        <f>SUM(F7:F18)</f>
        <v/>
      </c>
      <c r="G19" s="34">
        <f>SUM(G7:G18)</f>
        <v/>
      </c>
    </row>
    <row r="21">
      <c r="B21" s="3" t="inlineStr">
        <is>
          <t>COMO LER ESTA ABA:</t>
        </is>
      </c>
    </row>
    <row r="22">
      <c r="B22" s="2" t="inlineStr">
        <is>
          <t>Os meses de maio a julho ficam negativos - inverno somado a telhado Sudeste, que perde mais justamente no inverno.</t>
        </is>
      </c>
    </row>
    <row r="23">
      <c r="B23" s="2" t="inlineStr">
        <is>
          <t>Isso e normal e esperado. O excedente de outubro a marco forma o banco de creditos que cobre o inverno.</t>
        </is>
      </c>
    </row>
    <row r="24">
      <c r="B24" s="2" t="inlineStr">
        <is>
          <t>O que importa e o SALDO ANUAL da coluna G, linha 19, ficar proximo de zero ou levemente positivo.</t>
        </is>
      </c>
    </row>
    <row r="25">
      <c r="B25" s="2" t="inlineStr">
        <is>
          <t>Saldo anual muito positivo = voce pagou por placas que geram credito que vai expirar em 60 meses sem ser usado.</t>
        </is>
      </c>
    </row>
    <row r="26">
      <c r="B26" s="2" t="inlineStr">
        <is>
          <t>Saldo anual negativo = voce vai continuar comprando energia da Enel todo mes, com tarifa cheia.</t>
        </is>
      </c>
    </row>
    <row r="27">
      <c r="B27" s="2" t="inlineStr"/>
    </row>
    <row r="28">
      <c r="B28" s="2" t="inlineStr">
        <is>
          <t>OBSERVACAO SOBRE O CONSUMO DA RESIDENCIA: os valores vem do historico real, que ja mostra tendencia de alta de ~22%.</t>
        </is>
      </c>
    </row>
    <row r="29">
      <c r="B29" s="2" t="inlineStr">
        <is>
          <t>Se o consumo continuar subindo, o deficit dos meses de inverno sera maior do que o mostrado aqui.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00" customWidth="1" min="3" max="3"/>
    <col width="14" customWidth="1" min="4" max="4"/>
    <col width="36" customWidth="1" min="5" max="5"/>
  </cols>
  <sheetData>
    <row r="1">
      <c r="A1" s="1" t="inlineStr">
        <is>
          <t>CHECKLIST - O QUE EXIGIR ANTES DE ASSINAR QUALQUER CONTRATO</t>
        </is>
      </c>
    </row>
    <row r="2">
      <c r="A2" s="2" t="inlineStr">
        <is>
          <t>Itens em vermelho sao alertas ja identificados nos documentos recebidos. Preencha STATUS e a resposta de cada fornecedor.</t>
        </is>
      </c>
    </row>
    <row r="4">
      <c r="B4" s="17" t="inlineStr">
        <is>
          <t>#</t>
        </is>
      </c>
      <c r="C4" s="17" t="inlineStr">
        <is>
          <t>PONTO A VERIFICAR</t>
        </is>
      </c>
      <c r="D4" s="17" t="inlineStr">
        <is>
          <t>STATUS</t>
        </is>
      </c>
      <c r="E4" s="17" t="inlineStr">
        <is>
          <t>RESPOSTA DO FORNECEDOR</t>
        </is>
      </c>
    </row>
    <row r="5">
      <c r="B5" s="8" t="n"/>
      <c r="C5" s="7" t="inlineStr">
        <is>
          <t>1) BLOQUEADORES - RESOLVER ANTES DE QUALQUER COMPRA</t>
        </is>
      </c>
      <c r="D5" s="8" t="n"/>
      <c r="E5" s="8" t="n"/>
    </row>
    <row r="6">
      <c r="B6" s="4" t="n">
        <v>1</v>
      </c>
      <c r="C6" s="127" t="inlineStr">
        <is>
          <t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      </is>
      </c>
      <c r="D6" s="9" t="inlineStr">
        <is>
          <t>Pendente</t>
        </is>
      </c>
      <c r="E6" s="128" t="n"/>
    </row>
    <row r="7">
      <c r="B7" s="4" t="n">
        <v>2</v>
      </c>
      <c r="C7" s="127" t="inlineStr">
        <is>
          <t>TIPO DA TELHA CONTRADITORIO. TecSolarSP cotou estrutura para FIBROCIMENTO e William cotou gancho para telha COLONIAL. Sao estruturas totalmente diferentes. Descobrir qual e a telha real - se um deles errou, nao visitou o telhado.</t>
        </is>
      </c>
      <c r="D7" s="9" t="inlineStr">
        <is>
          <t>Pendente</t>
        </is>
      </c>
      <c r="E7" s="128" t="n"/>
    </row>
    <row r="8">
      <c r="B8" s="4" t="n">
        <v>3</v>
      </c>
      <c r="C8" s="127" t="inlineStr">
        <is>
          <t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      </is>
      </c>
      <c r="D8" s="9" t="inlineStr">
        <is>
          <t>Pendente</t>
        </is>
      </c>
      <c r="E8" s="128" t="n"/>
    </row>
    <row r="9">
      <c r="B9" s="4" t="n">
        <v>4</v>
      </c>
      <c r="C9" s="127" t="inlineStr">
        <is>
          <t>NENHUM ORCAMENTO CONSIDEROU O BYD. Informar a todos que havera carregamento diario do veiculo e pedir redimensionamento. A proposta do William (5,35 kWp) fica subdimensionada e o inversor Solis de 4 kW nao permite ampliar depois.</t>
        </is>
      </c>
      <c r="D9" s="9" t="inlineStr">
        <is>
          <t>Pendente</t>
        </is>
      </c>
      <c r="E9" s="128" t="n"/>
    </row>
    <row r="10">
      <c r="B10" s="8" t="n"/>
      <c r="C10" s="7" t="inlineStr">
        <is>
          <t>1-sexies) SOBRE A AD BIOSOLAR (opcao J) - E A VERIFICACAO MAIS IMPORTANTE DE TODAS</t>
        </is>
      </c>
      <c r="D10" s="8" t="n"/>
      <c r="E10" s="8" t="n"/>
    </row>
    <row r="11">
      <c r="B11" s="4" t="n">
        <v>5</v>
      </c>
      <c r="C11" s="129" t="inlineStr">
        <is>
          <t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      </is>
      </c>
      <c r="D11" s="9" t="inlineStr">
        <is>
          <t>Pendente</t>
        </is>
      </c>
      <c r="E11" s="128" t="n"/>
    </row>
    <row r="12">
      <c r="B12" s="4" t="n">
        <v>6</v>
      </c>
      <c r="C12" s="127" t="inlineStr">
        <is>
          <t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      </is>
      </c>
      <c r="D12" s="9" t="inlineStr">
        <is>
          <t>Pendente</t>
        </is>
      </c>
      <c r="E12" s="128" t="n"/>
    </row>
    <row r="13">
      <c r="B13" s="4" t="n">
        <v>7</v>
      </c>
      <c r="C13" s="127" t="inlineStr">
        <is>
          <t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      </is>
      </c>
      <c r="D13" s="9" t="inlineStr">
        <is>
          <t>Pendente</t>
        </is>
      </c>
      <c r="E13" s="128" t="n"/>
    </row>
    <row r="14">
      <c r="B14" s="4" t="n">
        <v>8</v>
      </c>
      <c r="C14" s="129" t="inlineStr">
        <is>
          <t>AD BIOSOLAR CORRIGIU A PROPOSTA (#01237 de 12/08): subiu de 8 para 10 modulos e de 4,92 para 6,15 kWp, trocou o inversor do SUN2000-5KTL-L1 para o 6KTL-L1 de 6 kW, e passou a dimensionar com 650 kWh/mes em vez de 460. Com o valor negociado de R$ 16.200 ela sai a R$ 2,63/Wp - deixou de ser a mais cara e passou a ser uma das mais baratas, com o melhor equipamento do conjunto.</t>
        </is>
      </c>
      <c r="D14" s="9" t="inlineStr">
        <is>
          <t>Pendente</t>
        </is>
      </c>
      <c r="E14" s="128" t="n"/>
    </row>
    <row r="15">
      <c r="B15" s="4" t="n">
        <v>9</v>
      </c>
      <c r="C15" s="127" t="inlineStr">
        <is>
          <t>O DESCONTO DE R$ 5.089 PRECISA ESTAR NO PAPEL. O PDF #01237 traz R$ 21.289,00; o valor de R$ 16.200,00 veio da negociacao. Sao 24% de desconto. Exigir proposta reemitida com o valor final, ou o desconto pode nao existir na assinatura.</t>
        </is>
      </c>
      <c r="D15" s="9" t="inlineStr">
        <is>
          <t>Pendente</t>
        </is>
      </c>
      <c r="E15" s="128" t="n"/>
    </row>
    <row r="16">
      <c r="B16" s="4" t="n">
        <v>10</v>
      </c>
      <c r="C16" s="127" t="inlineStr">
        <is>
          <t>CONFIRMADO POR FICHA TECNICA - INCOMPATIBILIDADE DE CORRENTE NA AD BIOSOLAR: o Huawei SUN2000-6KTL-L1 aceita no maximo 13,5 A por MPPT. O modulo JA Solar JAM66-D45-615LB tem Impp de 15,39 A e Isc de 16,1 A. A corrente do modulo excede a do inversor em cerca de 14%. Nao e problema de seguranca (o Isc cabe), mas o inversor nao consegue extrair toda a corrente nos momentos de maior irradiancia.</t>
        </is>
      </c>
      <c r="D16" s="9" t="inlineStr">
        <is>
          <t>Pendente</t>
        </is>
      </c>
      <c r="E16" s="128" t="n"/>
    </row>
    <row r="17">
      <c r="B17" s="4" t="n">
        <v>11</v>
      </c>
      <c r="C17" s="129" t="inlineStr">
        <is>
          <t>DIMENSAO REAL DESSA PERDA: o limite so passa a atuar quando a irradiancia no plano dos modulos ultrapassa cerca de 88% de 1.000 W/m2. No seu telhado Sudeste isso acontece em poucas horas do ano, entao a perda anual de energia deve ficar entre 1% e 3% - incomoda, mas nao inviabiliza. O que ela revela e mais grave que o numero: NINGUEM FEZ PROJETO DE STRING. Um projetista teria visto isso na primeira conferencia.</t>
        </is>
      </c>
      <c r="D17" s="9" t="inlineStr">
        <is>
          <t>Pendente</t>
        </is>
      </c>
      <c r="E17" s="128" t="n"/>
    </row>
    <row r="18">
      <c r="B18" s="4" t="n">
        <v>12</v>
      </c>
      <c r="C18" s="127" t="inlineStr">
        <is>
          <t>O QUE COBRAR DA AD BIOSOLAR: peca que expliquem essa diferenca e apresentem uma das saidas - (a) trocar por modulo de 144 meias-celulas com Impp em torno de 13,7 A, que casa com o inversor; (b) trocar o inversor por um modelo com corrente maior por MPPT; ou (c) assumir por escrito a perda estimada. Bonus: o 6KTL-L1 aceita ate 9.000 Wp, ou seja, ainda cabem 4 modulos de 615 W para expansao futura.</t>
        </is>
      </c>
      <c r="D18" s="9" t="inlineStr">
        <is>
          <t>Pendente</t>
        </is>
      </c>
      <c r="E18" s="128" t="n"/>
    </row>
    <row r="19">
      <c r="B19" s="4" t="n">
        <v>13</v>
      </c>
      <c r="C19" s="127" t="inlineStr">
        <is>
          <t>ESSA MESMA CONTA VALE PARA AS OPCOES A e B (TecSolarSP, Huawei 6 kW com modulos de 615 e 605 W) e provavelmente para C, D e I. NAO se aplica a proposta do Yuri: o micro Deye SUN-S225G4-EU-Q0 aceita 18 A por MPPT e modulos de ate 790 W, com folga sobre os 15,39 A.</t>
        </is>
      </c>
      <c r="D19" s="9" t="inlineStr">
        <is>
          <t>Pendente</t>
        </is>
      </c>
      <c r="E19" s="128" t="n"/>
    </row>
    <row r="20">
      <c r="B20" s="4" t="n">
        <v>14</v>
      </c>
      <c r="C20" s="127" t="inlineStr">
        <is>
          <t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      </is>
      </c>
      <c r="D20" s="9" t="inlineStr">
        <is>
          <t>Pendente</t>
        </is>
      </c>
      <c r="E20" s="128" t="n"/>
    </row>
    <row r="21">
      <c r="B21" s="4" t="n">
        <v>15</v>
      </c>
      <c r="C21" s="127" t="inlineStr">
        <is>
          <t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      </is>
      </c>
      <c r="D21" s="9" t="inlineStr">
        <is>
          <t>Pendente</t>
        </is>
      </c>
      <c r="E21" s="128" t="n"/>
    </row>
    <row r="23">
      <c r="B23" s="4" t="n">
        <v>16</v>
      </c>
      <c r="C23" s="127" t="inlineStr">
        <is>
          <t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      </is>
      </c>
      <c r="D23" s="9" t="inlineStr">
        <is>
          <t>Pendente</t>
        </is>
      </c>
      <c r="E23" s="128" t="n"/>
    </row>
    <row r="24">
      <c r="B24" s="4" t="n">
        <v>17</v>
      </c>
      <c r="C24" s="127" t="inlineStr">
        <is>
          <t>STRING CURTA DE 6 MODULOS. A tensao de operacao fica na faixa de 200 a 225 V. Em dia quente a tensao cai e pode sair da faixa de potencia plena do MPPT. Exigir o projeto de string com temperatura minima e maxima.</t>
        </is>
      </c>
      <c r="D24" s="9" t="inlineStr">
        <is>
          <t>Pendente</t>
        </is>
      </c>
      <c r="E24" s="128" t="n"/>
    </row>
    <row r="25">
      <c r="B25" s="4" t="n">
        <v>18</v>
      </c>
      <c r="C25" s="127" t="inlineStr">
        <is>
          <t>FALTA PROTECAO CA nas duas cotacoes da TecSolarSP: sem DPS CA e sem disjuntor dedicado do inversor. So o William incluiu DPS (3 pecas Clamper classe II). Item obrigatorio pela NBR 5410.</t>
        </is>
      </c>
      <c r="D25" s="9" t="inlineStr">
        <is>
          <t>Pendente</t>
        </is>
      </c>
      <c r="E25" s="128" t="n"/>
    </row>
    <row r="26">
      <c r="B26" s="4" t="n">
        <v>19</v>
      </c>
      <c r="C26" s="127" t="inlineStr">
        <is>
          <t>FALTA CABO DE EQUIPOTENCIALIZACAO na cotacao Astronergy 605 W, e as garras de aterramento cairam de 6 para 3 jogos. Item de seguranca.</t>
        </is>
      </c>
      <c r="D26" s="9" t="inlineStr">
        <is>
          <t>Pendente</t>
        </is>
      </c>
      <c r="E26" s="128" t="n"/>
    </row>
    <row r="27">
      <c r="B27" s="4" t="n">
        <v>20</v>
      </c>
      <c r="C27" s="127" t="inlineStr">
        <is>
          <t>ESTRUTURA NAO VALIDADA na cotacao Astronergy: a propria BelEnergy escreveu que 'as estruturas deste orcamento nao foram recomendadas'.</t>
        </is>
      </c>
      <c r="D27" s="9" t="inlineStr">
        <is>
          <t>Pendente</t>
        </is>
      </c>
      <c r="E27" s="128" t="n"/>
    </row>
    <row r="28">
      <c r="B28" s="4" t="n">
        <v>21</v>
      </c>
      <c r="C28" s="127" t="inlineStr">
        <is>
          <t>PROPOSTA SEM CNPJ. A proposta do William nao traz razao social nem CNPJ. Sem isso nao existe garantia exigivel. Pedir o documento com identificacao da empresa.</t>
        </is>
      </c>
      <c r="D28" s="9" t="inlineStr">
        <is>
          <t>Pendente</t>
        </is>
      </c>
      <c r="E28" s="128" t="n"/>
    </row>
    <row r="29">
      <c r="B29" s="4" t="n">
        <v>22</v>
      </c>
      <c r="C29" s="127" t="inlineStr">
        <is>
          <t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      </is>
      </c>
      <c r="D29" s="9" t="inlineStr">
        <is>
          <t>Pendente</t>
        </is>
      </c>
      <c r="E29" s="128" t="n"/>
    </row>
    <row r="30">
      <c r="B30" s="8" t="n"/>
      <c r="C30" s="7" t="inlineStr">
        <is>
          <t>1-bis) PERGUNTAS ESPECIFICAS DA PROPOSTA COM MICROINVERSORES (opcao G)</t>
        </is>
      </c>
      <c r="D30" s="8" t="n"/>
      <c r="E30" s="8" t="n"/>
    </row>
    <row r="31">
      <c r="B31" s="4" t="n">
        <v>23</v>
      </c>
      <c r="C31" s="129" t="inlineStr">
        <is>
          <t>RESPONDIDO: os microinversores sao DEYE SUN-S225G4-EU-Q0, 2,25 kW monofasico. A Deye e um dos maiores fabricantes do mundo e tem rede de assistencia estabelecida no Brasil. Isso resolve a principal duvida que havia sobre esta proposta.</t>
        </is>
      </c>
      <c r="D31" s="9" t="inlineStr">
        <is>
          <t>Pendente</t>
        </is>
      </c>
      <c r="E31" s="128" t="n"/>
    </row>
    <row r="32">
      <c r="B32" s="4" t="n">
        <v>24</v>
      </c>
      <c r="C32" s="129" t="inlineStr">
        <is>
          <t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      </is>
      </c>
      <c r="D32" s="9" t="inlineStr">
        <is>
          <t>Pendente</t>
        </is>
      </c>
      <c r="E32" s="128" t="n"/>
    </row>
    <row r="33">
      <c r="B33" s="4" t="n">
        <v>25</v>
      </c>
      <c r="C33" s="129" t="inlineStr">
        <is>
          <t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      </is>
      </c>
      <c r="D33" s="9" t="inlineStr">
        <is>
          <t>Pendente</t>
        </is>
      </c>
      <c r="E33" s="128" t="n"/>
    </row>
    <row r="34">
      <c r="B34" s="4" t="n">
        <v>26</v>
      </c>
      <c r="C34" s="127" t="inlineStr">
        <is>
          <t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      </is>
      </c>
      <c r="D34" s="9" t="inlineStr">
        <is>
          <t>Pendente</t>
        </is>
      </c>
      <c r="E34" s="128" t="n"/>
    </row>
    <row r="35">
      <c r="B35" s="4" t="n">
        <v>27</v>
      </c>
      <c r="C35" s="127" t="inlineStr">
        <is>
          <t>EXIGIR A GARANTIA DA DEYE POR ESCRITO. A Deye pratica 10 anos de fabrica nos microinversores, com extensao opcional, mas o Yuri nao declarou nada. Sem estar no papel, nao vale.</t>
        </is>
      </c>
      <c r="D35" s="9" t="inlineStr">
        <is>
          <t>Pendente</t>
        </is>
      </c>
      <c r="E35" s="128" t="n"/>
    </row>
    <row r="36">
      <c r="B36" s="4" t="n">
        <v>28</v>
      </c>
      <c r="C36" s="129" t="inlineStr">
        <is>
          <t>RESPONDIDO: o modulo e ZNShine ZXNR-MD132-650, N-type, 650 W. A ZNShine e fabricante listada como Tier 1 pela Bloomberg NEF e atua desde os anos 1990. Com isso, os DOIS equipamentos desta proposta estao identificados e sao de fabricantes credenciados.</t>
        </is>
      </c>
      <c r="D36" s="9" t="inlineStr">
        <is>
          <t>Pendente</t>
        </is>
      </c>
      <c r="E36" s="128" t="n"/>
    </row>
    <row r="37">
      <c r="B37" s="4" t="n">
        <v>29</v>
      </c>
      <c r="C37" s="129" t="inlineStr">
        <is>
          <t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      </is>
      </c>
      <c r="D37" s="9" t="inlineStr">
        <is>
          <t>Pendente</t>
        </is>
      </c>
      <c r="E37" s="128" t="n"/>
    </row>
    <row r="38">
      <c r="B38" s="4" t="n">
        <v>30</v>
      </c>
      <c r="C38" s="129" t="inlineStr">
        <is>
          <t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      </is>
      </c>
      <c r="D38" s="9" t="inlineStr">
        <is>
          <t>Pendente</t>
        </is>
      </c>
      <c r="E38" s="128" t="n"/>
    </row>
    <row r="39">
      <c r="B39" s="4" t="n">
        <v>31</v>
      </c>
      <c r="C39" s="127" t="inlineStr">
        <is>
          <t>AGORA SO FALTA PAPEL NESTA PROPOSTA: razao social e CNPJ da SunWash, garantias de modulo/inversor/instalacao por escrito em anos, escopo item a item, esclarecimento dos R$ 1.800 da regiao, e o tipo de telha considerado. Nenhuma pendencia tecnica restou.</t>
        </is>
      </c>
      <c r="D39" s="9" t="inlineStr">
        <is>
          <t>Pendente</t>
        </is>
      </c>
      <c r="E39" s="128" t="n"/>
    </row>
    <row r="40">
      <c r="B40" s="4" t="n">
        <v>32</v>
      </c>
      <c r="C40" s="127" t="inlineStr">
        <is>
          <t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      </is>
      </c>
      <c r="D40" s="9" t="inlineStr">
        <is>
          <t>Pendente</t>
        </is>
      </c>
      <c r="E40" s="128" t="n"/>
    </row>
    <row r="41">
      <c r="B41" s="4" t="n">
        <v>33</v>
      </c>
      <c r="C41" s="127" t="inlineStr">
        <is>
          <t>QUAL A MARCA DO MODULO DE 650 W? O orcamento nao informa. 650 W e formato grande (cerca de 2,6 m2 por placa): confirmar que cabe na agua Sudeste e que o peso por m2 e compativel com o telhado.</t>
        </is>
      </c>
      <c r="D41" s="9" t="inlineStr">
        <is>
          <t>Pendente</t>
        </is>
      </c>
      <c r="E41" s="128" t="n"/>
    </row>
    <row r="42">
      <c r="B42" s="4" t="n">
        <v>34</v>
      </c>
      <c r="C42" s="127" t="inlineStr">
        <is>
          <t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      </is>
      </c>
      <c r="D42" s="9" t="inlineStr">
        <is>
          <t>Pendente</t>
        </is>
      </c>
      <c r="E42" s="128" t="n"/>
    </row>
    <row r="43">
      <c r="B43" s="4" t="n">
        <v>35</v>
      </c>
      <c r="C43" s="127" t="inlineStr">
        <is>
          <t>CONFIRMAR QUE O PARCELAMENTO EM 18x E REALMENTE SEM JUROS pelo valor a vista (18 x 932,25 = 16.780,54 confere). Pedir por escrito, e confirmar se o preco a vista nao teria desconto adicional.</t>
        </is>
      </c>
      <c r="D43" s="9" t="inlineStr">
        <is>
          <t>Pendente</t>
        </is>
      </c>
      <c r="E43" s="128" t="n"/>
    </row>
    <row r="44">
      <c r="B44" s="4" t="n">
        <v>36</v>
      </c>
      <c r="C44" s="127" t="inlineStr">
        <is>
          <t>MICROINVERSOR EXIGE MANUTENCAO NO TELHADO. Perguntar como e feito o acesso, o prazo de troca em garantia e se o monitoramento e por modulo (deveria ser).</t>
        </is>
      </c>
      <c r="D44" s="9" t="inlineStr">
        <is>
          <t>Pendente</t>
        </is>
      </c>
      <c r="E44" s="128" t="n"/>
    </row>
    <row r="45">
      <c r="B45" s="4" t="n">
        <v>37</v>
      </c>
      <c r="C45" s="129" t="inlineStr">
        <is>
          <t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      </is>
      </c>
      <c r="D45" s="9" t="inlineStr">
        <is>
          <t>Pendente</t>
        </is>
      </c>
      <c r="E45" s="128" t="n"/>
    </row>
    <row r="47">
      <c r="B47" s="8" t="n"/>
      <c r="C47" s="7" t="inlineStr">
        <is>
          <t>1-quater) PERGUNTAS DA PROPOSTA SFERO (opcao H)</t>
        </is>
      </c>
      <c r="D47" s="8" t="n"/>
      <c r="E47" s="8" t="n"/>
    </row>
    <row r="48">
      <c r="B48" s="4" t="n">
        <v>38</v>
      </c>
      <c r="C48" s="127" t="inlineStr">
        <is>
          <t>MARCA COM BARRA NAO E MARCA. A proposta diz 'Longi/ DAH Solar' e 'Solis/ Growatt', ou seja, um OU outro. Exigir por escrito qual modelo exato sera entregue ANTES de assinar - a diferenca entre Longi e DAH, e entre Solis e Growatt, e real em preco e em suporte.</t>
        </is>
      </c>
      <c r="D48" s="9" t="inlineStr">
        <is>
          <t>Pendente</t>
        </is>
      </c>
      <c r="E48" s="128" t="n"/>
    </row>
    <row r="49">
      <c r="B49" s="4" t="n">
        <v>39</v>
      </c>
      <c r="C49" s="127" t="inlineStr">
        <is>
          <t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      </is>
      </c>
      <c r="D49" s="9" t="inlineStr">
        <is>
          <t>Pendente</t>
        </is>
      </c>
      <c r="E49" s="128" t="n"/>
    </row>
    <row r="50">
      <c r="B50" s="4" t="n">
        <v>40</v>
      </c>
      <c r="C50" s="127" t="inlineStr">
        <is>
          <t>60% DE ENTRADA E RISCO ALTO. Sao R$ 11.240 pagos antes de qualquer equipamento chegar ao telhado. Negociar para 30-40% de entrada, ou exigir garantia contratual e nota fiscal do material no ato do pagamento.</t>
        </is>
      </c>
      <c r="D50" s="9" t="inlineStr">
        <is>
          <t>Pendente</t>
        </is>
      </c>
      <c r="E50" s="128" t="n"/>
    </row>
    <row r="51">
      <c r="B51" s="4" t="n">
        <v>41</v>
      </c>
      <c r="C51" s="127" t="inlineStr">
        <is>
          <t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      </is>
      </c>
      <c r="D51" s="9" t="inlineStr">
        <is>
          <t>Pendente</t>
        </is>
      </c>
      <c r="E51" s="128" t="n"/>
    </row>
    <row r="52">
      <c r="B52" s="4" t="n">
        <v>42</v>
      </c>
      <c r="C52" s="129" t="inlineStr">
        <is>
          <t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      </is>
      </c>
      <c r="D52" s="9" t="inlineStr">
        <is>
          <t>Pendente</t>
        </is>
      </c>
      <c r="E52" s="128" t="n"/>
    </row>
    <row r="54">
      <c r="B54" s="8" t="n"/>
      <c r="C54" s="7" t="inlineStr">
        <is>
          <t>1-quinquies) SOBRE A SUN COAST v2 (opcao I)</t>
        </is>
      </c>
      <c r="D54" s="8" t="n"/>
      <c r="E54" s="8" t="n"/>
    </row>
    <row r="55">
      <c r="B55" s="4" t="n">
        <v>43</v>
      </c>
      <c r="C55" s="129" t="inlineStr">
        <is>
          <t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      </is>
      </c>
      <c r="D55" s="9" t="inlineStr">
        <is>
          <t>Pendente</t>
        </is>
      </c>
      <c r="E55" s="128" t="n"/>
    </row>
    <row r="56">
      <c r="B56" s="4" t="n">
        <v>44</v>
      </c>
      <c r="C56" s="127" t="inlineStr">
        <is>
          <t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      </is>
      </c>
      <c r="D56" s="9" t="inlineStr">
        <is>
          <t>Pendente</t>
        </is>
      </c>
      <c r="E56" s="128" t="n"/>
    </row>
    <row r="57">
      <c r="B57" s="4" t="n">
        <v>45</v>
      </c>
      <c r="C57" s="127" t="inlineStr">
        <is>
          <t>OS NUMEROS DE MARKETING SEGUEM INFLADOS: 'Retorno do investimento R$ 368.037,69' e 'Rendimento 40,69% ao ano' sobre um investimento de R$ 16.890. Meu calculo da cerca de R$ 219 mil de lucro em 20 anos, que ja e otimo. Ignore esses numeros e use a aba COMPARATIVO.</t>
        </is>
      </c>
      <c r="D57" s="9" t="inlineStr">
        <is>
          <t>Pendente</t>
        </is>
      </c>
      <c r="E57" s="128" t="n"/>
    </row>
    <row r="58">
      <c r="B58" s="4" t="n">
        <v>46</v>
      </c>
      <c r="C58" s="127" t="inlineStr">
        <is>
          <t>AUXSOL DE 7,5 kW SIGNIFICA 7,5 kW DECLARADOS NA HOMOLOGACAO = 34 A em 220 V. Isso pode exigir padrao de entrada maior (e mais caro) do que 6,82 kWp precisaria. Perguntar se um inversor de 6 kW nao serviria, com preco menor.</t>
        </is>
      </c>
      <c r="D58" s="9" t="inlineStr">
        <is>
          <t>Pendente</t>
        </is>
      </c>
      <c r="E58" s="128" t="n"/>
    </row>
    <row r="60">
      <c r="B60" s="8" t="n"/>
      <c r="C60" s="7" t="inlineStr">
        <is>
          <t>1-septies) AS DUAS CONTRADICOES DA PROPOSTA FORMAL DO YURI (proposta 6695731)</t>
        </is>
      </c>
      <c r="D60" s="8" t="n"/>
      <c r="E60" s="8" t="n"/>
    </row>
    <row r="61">
      <c r="B61" s="4" t="n">
        <v>47</v>
      </c>
      <c r="C61" s="127" t="inlineStr">
        <is>
          <t>CONTRADICAO 1 - PADRAO DE ENTRADA. A pagina 5 lista como inclusos 'MAO DE OBRA + ENGENHARIA + HOMOLOGACAO + PADRAO DE ENTRADA + MATERIAL ELETRICO' e ainda 'TROCA DE DISJUNTOR DO PADRAO'. Mas a pagina 8, item 5, diz: 'E de responsabilidade do cliente todo o material e obra que tenha que ser realizada por motivos de adequacao de entrada'. Uma pagina inclui e a outra exclui. ISSO VALE CERCA DE R$ 2.500 - a planilha adotou como INCLUSO conforme a pagina 5, mas EXIJA a confirmacao por escrito. Se for excluido, some R$ 2.500 ao preco.</t>
        </is>
      </c>
      <c r="D61" s="9" t="inlineStr">
        <is>
          <t>Pendente</t>
        </is>
      </c>
      <c r="E61" s="128" t="n"/>
    </row>
    <row r="62">
      <c r="B62" s="4" t="n">
        <v>48</v>
      </c>
      <c r="C62" s="127" t="inlineStr">
        <is>
          <t>CONTRADICAO 2 - MODULO. A secao de caracteristicas tecnicas diz marca ZSHINE, 650 Wp, quantidade 10, totalizando os 6,50 kWp declarados e 25 m2 de area. Mas a tabela de equipamentos lista 'MODULOS BIFACIAL 660W RISEN' com quantidade 16. Sao tres divergencias ao mesmo tempo: marca (ZShine x Risen), potencia (650 x 660 W) e quantidade (10 x 16). Dezesseis modulos de 660 W dariam 10,56 kWp e precisariam de uns 43 m2, nao 25. Provavelmente a tabela ficou com sobra de outro orcamento - mas o CONTRATO e o que vale, entao exija a proposta corrigida.</t>
        </is>
      </c>
      <c r="D62" s="9" t="inlineStr">
        <is>
          <t>Pendente</t>
        </is>
      </c>
      <c r="E62" s="128" t="n"/>
    </row>
    <row r="63">
      <c r="B63" s="4" t="n">
        <v>49</v>
      </c>
      <c r="C63" s="129" t="inlineStr">
        <is>
          <t>SE POR ACASO FOREM MESMO 16 MODULOS pelo mesmo preco, seria 10,56 kWp a R$ 1,59/Wp - imbativel, e caberia exatamente nos 16 canais dos 4 micros Deye (DC/AC 1,17). Vale perguntar, mas nao contar com isso.</t>
        </is>
      </c>
      <c r="D63" s="9" t="inlineStr">
        <is>
          <t>Pendente</t>
        </is>
      </c>
      <c r="E63" s="128" t="n"/>
    </row>
    <row r="64">
      <c r="B64" s="4" t="n">
        <v>50</v>
      </c>
      <c r="C64" s="129" t="inlineStr">
        <is>
          <t>GANHOS REAIS DESTA PROPOSTA FORMAL em relacao ao orcamento de WhatsApp: garantias agora declaradas (modulo 12 anos de defeito e 25 de eficiencia, inversor 12 anos), escopo de servicos listado (vistoria tecnica, projeto eletrico, ART, licencas junto a concessionaria, gestao e fiscalizacao de obra, frete e documentacao), e a troca do disjuntor do padrao no escopo.</t>
        </is>
      </c>
      <c r="D64" s="9" t="inlineStr">
        <is>
          <t>Pendente</t>
        </is>
      </c>
      <c r="E64" s="128" t="n"/>
    </row>
    <row r="65">
      <c r="B65" s="4" t="n">
        <v>51</v>
      </c>
      <c r="C65" s="127" t="inlineStr">
        <is>
          <t>VALIDADE DE APENAS 5 DIAS: emitida em 12/08/2026 e valida ate 17/08/2026. Se for decidir, e nesta semana - ou peca revalidacao.</t>
        </is>
      </c>
      <c r="D65" s="9" t="inlineStr">
        <is>
          <t>Pendente</t>
        </is>
      </c>
      <c r="E65" s="128" t="n"/>
    </row>
    <row r="66">
      <c r="B66" s="4" t="n">
        <v>52</v>
      </c>
      <c r="C66" s="127" t="inlineStr">
        <is>
          <t>AINDA FALTAM NESTA PROPOSTA: razao social e CNPJ da SunWash (o PDF traz apenas 'YURI' e um WhatsApp), o tipo de telha considerado, o registro INMETRO do modulo e do micro, e o esclarecimento sobre os R$ 1.800 do acrescimo regional.</t>
        </is>
      </c>
      <c r="D66" s="9" t="inlineStr">
        <is>
          <t>Pendente</t>
        </is>
      </c>
      <c r="E66" s="128" t="n"/>
    </row>
    <row r="67">
      <c r="B67" s="4" t="n">
        <v>53</v>
      </c>
      <c r="C67" s="129" t="inlineStr">
        <is>
          <t>OBSERVACAO SOBRE OS NUMEROS FINANCEIROS DELES: usaram consumo de 502 kWh/mes e tarifa de R$ 0,882/kWh (R$ 442,67 / 502 kWh). Sua tarifa real e R$ 1,0215. A tabela de anos vai de 2023 a 2030, o que indica planilha-modelo nao atualizada. Ignore a analise financeira deles e use a aba COMPARATIVO.</t>
        </is>
      </c>
      <c r="D67" s="9" t="inlineStr">
        <is>
          <t>Pendente</t>
        </is>
      </c>
      <c r="E67" s="128" t="n"/>
    </row>
    <row r="69">
      <c r="B69" s="8" t="n"/>
      <c r="C69" s="7" t="inlineStr">
        <is>
          <t>1-ter) DEMAIS BLOQUEADORES</t>
        </is>
      </c>
      <c r="D69" s="8" t="n"/>
      <c r="E69" s="8" t="n"/>
    </row>
    <row r="70">
      <c r="B70" s="4" t="n">
        <v>54</v>
      </c>
      <c r="C70" s="127" t="inlineStr">
        <is>
          <t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      </is>
      </c>
      <c r="D70" s="9" t="inlineStr">
        <is>
          <t>Pendente</t>
        </is>
      </c>
      <c r="E70" s="128" t="n"/>
    </row>
    <row r="71">
      <c r="B71" s="4" t="n">
        <v>55</v>
      </c>
      <c r="C71" s="127" t="inlineStr">
        <is>
          <t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      </is>
      </c>
      <c r="D71" s="9" t="inlineStr">
        <is>
          <t>Pendente</t>
        </is>
      </c>
      <c r="E71" s="128" t="n"/>
    </row>
    <row r="72">
      <c r="B72" s="4" t="n">
        <v>56</v>
      </c>
      <c r="C72" s="127" t="inlineStr">
        <is>
          <t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      </is>
      </c>
      <c r="D72" s="9" t="inlineStr">
        <is>
          <t>Pendente</t>
        </is>
      </c>
      <c r="E72" s="128" t="n"/>
    </row>
    <row r="73">
      <c r="B73" s="4" t="n">
        <v>57</v>
      </c>
      <c r="C73" s="127" t="inlineStr">
        <is>
          <t>MODULO RONMA SOLAR - MARCA A INVESTIGAR. Praticamente sem presenca no Brasil. Exigir registro INMETRO do modelo exato, ficha tecnica e o nome/CNPJ de quem honra os 25 anos de garantia de eficiencia no Brasil. Garantia de 25 anos so vale se existir empresa para honrar.</t>
        </is>
      </c>
      <c r="D73" s="9" t="inlineStr">
        <is>
          <t>Pendente</t>
        </is>
      </c>
      <c r="E73" s="128" t="n"/>
    </row>
    <row r="74">
      <c r="B74" s="4" t="n">
        <v>58</v>
      </c>
      <c r="C74" s="127" t="inlineStr">
        <is>
          <t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      </is>
      </c>
      <c r="D74" s="9" t="inlineStr">
        <is>
          <t>Pendente</t>
        </is>
      </c>
      <c r="E74" s="128" t="n"/>
    </row>
    <row r="75">
      <c r="B75" s="4" t="n">
        <v>59</v>
      </c>
      <c r="C75" s="127" t="inlineStr">
        <is>
          <t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      </is>
      </c>
      <c r="D75" s="9" t="inlineStr">
        <is>
          <t>Pendente</t>
        </is>
      </c>
      <c r="E75" s="128" t="n"/>
    </row>
    <row r="76">
      <c r="B76" s="4" t="n">
        <v>60</v>
      </c>
      <c r="C76" s="127" t="inlineStr">
        <is>
          <t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      </is>
      </c>
      <c r="D76" s="9" t="inlineStr">
        <is>
          <t>Pendente</t>
        </is>
      </c>
      <c r="E76" s="128" t="n"/>
    </row>
    <row r="77">
      <c r="B77" s="4" t="n">
        <v>61</v>
      </c>
      <c r="C77" s="127" t="inlineStr">
        <is>
          <t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      </is>
      </c>
      <c r="D77" s="9" t="inlineStr">
        <is>
          <t>Pendente</t>
        </is>
      </c>
      <c r="E77" s="128" t="n"/>
    </row>
    <row r="78">
      <c r="B78" s="4" t="n">
        <v>62</v>
      </c>
      <c r="C78" s="127" t="inlineStr">
        <is>
          <t>SUNWASH PROMETE 700 kWh/mes PARA 6,20 kWp = 1.355 kWh por kWp ao ano. No seu telhado Sudeste o calculo da ~1.264. Diferenca de ~7%. Menos exagerado que a TecSolarSP, mas ainda otimista - exigir a simulacao com o azimute real.</t>
        </is>
      </c>
      <c r="D78" s="9" t="inlineStr">
        <is>
          <t>Pendente</t>
        </is>
      </c>
      <c r="E78" s="128" t="n"/>
    </row>
    <row r="79">
      <c r="B79" s="4" t="n">
        <v>63</v>
      </c>
      <c r="C79" s="127" t="inlineStr">
        <is>
          <t>O ACRESCIMO DE R$ 1.800 PELA REGIAO NAO FOI REPETIDO NO ORCAMENTO TCL. Confirmar por escrito se o preco de R$ 14.220,34 / R$ 15.220,34 e o valor FINAL entregue em Sao Paulo capital, ou se o acrescimo ainda incide.</t>
        </is>
      </c>
      <c r="D79" s="9" t="inlineStr">
        <is>
          <t>Pendente</t>
        </is>
      </c>
      <c r="E79" s="128" t="n"/>
    </row>
    <row r="80">
      <c r="B80" s="4" t="n">
        <v>64</v>
      </c>
      <c r="C80" s="127" t="inlineStr">
        <is>
          <t>'ESTRUTURA, PROTECOES, CABOS E HOMOLOGACAO INCLUSOS' precisa virar lista item a item. Exigir: modelo da estrutura e para qual tipo de telha, DPS CC e CA, disjuntores, string box, bitola dos cabos, ART e quem protocola na Enel.</t>
        </is>
      </c>
      <c r="D80" s="9" t="inlineStr">
        <is>
          <t>Pendente</t>
        </is>
      </c>
      <c r="E80" s="128" t="n"/>
    </row>
    <row r="81">
      <c r="B81" s="4" t="n">
        <v>65</v>
      </c>
      <c r="C81" s="127" t="inlineStr">
        <is>
          <t>ASSISTENCIA TECNICA A 340 km. A SunWash anuncia atendimento para Ribeirao Preto ate 80 km e cobra R$ 1.800 para atender a sua regiao. Perguntar o prazo de atendimento em caso de falha e se ha equipe propria em Sao Paulo.</t>
        </is>
      </c>
      <c r="D81" s="9" t="inlineStr">
        <is>
          <t>Pendente</t>
        </is>
      </c>
      <c r="E81" s="128" t="n"/>
    </row>
    <row r="82">
      <c r="B82" s="4" t="n">
        <v>66</v>
      </c>
      <c r="C82" s="127" t="inlineStr">
        <is>
          <t>COTACOES VENCIDAS. As cotacoes Belenergy valem 3 dias e foram emitidas em 08/08 e 10/08/2026. Pedir revalidacao de preco antes de fechar.</t>
        </is>
      </c>
      <c r="D82" s="9" t="inlineStr">
        <is>
          <t>Pendente</t>
        </is>
      </c>
      <c r="E82" s="128" t="n"/>
    </row>
    <row r="84">
      <c r="B84" s="8" t="n"/>
      <c r="C84" s="7" t="inlineStr">
        <is>
          <t>2) DOCUMENTOS A EXIGIR DE CADA FORNECEDOR</t>
        </is>
      </c>
      <c r="D84" s="8" t="n"/>
      <c r="E84" s="8" t="n"/>
    </row>
    <row r="85">
      <c r="B85" s="4" t="n">
        <v>67</v>
      </c>
      <c r="C85" s="129" t="inlineStr">
        <is>
          <t>Proposta comercial formal com razao social, CNPJ, escopo completo, prazo de execucao e forma de pagamento.</t>
        </is>
      </c>
      <c r="D85" s="9" t="inlineStr">
        <is>
          <t>Pendente</t>
        </is>
      </c>
      <c r="E85" s="128" t="n"/>
    </row>
    <row r="86">
      <c r="B86" s="4" t="n">
        <v>68</v>
      </c>
      <c r="C86" s="129" t="inlineStr">
        <is>
          <t>Relatorio de simulacao de geracao com azimute, inclinacao e sombreamento reais do telhado.</t>
        </is>
      </c>
      <c r="D86" s="9" t="inlineStr">
        <is>
          <t>Pendente</t>
        </is>
      </c>
      <c r="E86" s="128" t="n"/>
    </row>
    <row r="87">
      <c r="B87" s="4" t="n">
        <v>69</v>
      </c>
      <c r="C87" s="129" t="inlineStr">
        <is>
          <t>Ficha tecnica e registro INMETRO do modulo e do inversor.</t>
        </is>
      </c>
      <c r="D87" s="9" t="inlineStr">
        <is>
          <t>Pendente</t>
        </is>
      </c>
      <c r="E87" s="128" t="n"/>
    </row>
    <row r="88">
      <c r="B88" s="4" t="n">
        <v>70</v>
      </c>
      <c r="C88" s="129" t="inlineStr">
        <is>
          <t>Garantias por escrito: modulo (produto e performance), inversor, estrutura e mao de obra.</t>
        </is>
      </c>
      <c r="D88" s="9" t="inlineStr">
        <is>
          <t>Pendente</t>
        </is>
      </c>
      <c r="E88" s="128" t="n"/>
    </row>
    <row r="89">
      <c r="B89" s="4" t="n">
        <v>71</v>
      </c>
      <c r="C89" s="129" t="inlineStr">
        <is>
          <t>Responsabilidade pela homologacao na Enel, com ART emitida por profissional com CREA ou CFT.</t>
        </is>
      </c>
      <c r="D89" s="9" t="inlineStr">
        <is>
          <t>Pendente</t>
        </is>
      </c>
      <c r="E89" s="128" t="n"/>
    </row>
    <row r="90">
      <c r="B90" s="4" t="n">
        <v>72</v>
      </c>
      <c r="C90" s="129" t="inlineStr">
        <is>
          <t>Quem paga a adequacao do padrao de entrada e o aumento de carga, se a Enel exigir.</t>
        </is>
      </c>
      <c r="D90" s="9" t="inlineStr">
        <is>
          <t>Pendente</t>
        </is>
      </c>
      <c r="E90" s="128" t="n"/>
    </row>
    <row r="91">
      <c r="B91" s="4" t="n">
        <v>73</v>
      </c>
      <c r="C91" s="129" t="inlineStr">
        <is>
          <t>Garantia contra infiltracao no telhado apos a perfuracao para fixacao da estrutura.</t>
        </is>
      </c>
      <c r="D91" s="9" t="inlineStr">
        <is>
          <t>Pendente</t>
        </is>
      </c>
      <c r="E91" s="128" t="n"/>
    </row>
    <row r="92">
      <c r="B92" s="4" t="n">
        <v>74</v>
      </c>
      <c r="C92" s="129" t="inlineStr">
        <is>
          <t>Prazo de atendimento tecnico e distancia da equipe.</t>
        </is>
      </c>
      <c r="D92" s="9" t="inlineStr">
        <is>
          <t>Pendente</t>
        </is>
      </c>
      <c r="E92" s="128" t="n"/>
    </row>
    <row r="93">
      <c r="B93" s="4" t="n">
        <v>75</v>
      </c>
      <c r="C93" s="129" t="inlineStr">
        <is>
          <t>Acesso do proprietario ao monitoramento (app) e se ha mensalidade.</t>
        </is>
      </c>
      <c r="D93" s="9" t="inlineStr">
        <is>
          <t>Pendente</t>
        </is>
      </c>
      <c r="E93" s="128" t="n"/>
    </row>
    <row r="95">
      <c r="B95" s="8" t="n"/>
      <c r="C95" s="7" t="inlineStr">
        <is>
          <t>3) INSTALACAO ELETRICA E CARREGADOR DO BYD</t>
        </is>
      </c>
      <c r="D95" s="8" t="n"/>
      <c r="E95" s="8" t="n"/>
    </row>
    <row r="96">
      <c r="B96" s="4" t="n">
        <v>76</v>
      </c>
      <c r="C96" s="129" t="inlineStr">
        <is>
          <t>Levantamento do padrao atual: numero de fases (hoje MONOFASICO), corrente do disjuntor geral e carga instalada.</t>
        </is>
      </c>
      <c r="D96" s="9" t="inlineStr">
        <is>
          <t>Pendente</t>
        </is>
      </c>
      <c r="E96" s="128" t="n"/>
    </row>
    <row r="97">
      <c r="B97" s="4" t="n">
        <v>77</v>
      </c>
      <c r="C97" s="129" t="inlineStr">
        <is>
          <t>Calculo de demanda somando residencia + inversor + carregador do veiculo, para saber se e preciso aumento de carga na Enel.</t>
        </is>
      </c>
      <c r="D97" s="9" t="inlineStr">
        <is>
          <t>Pendente</t>
        </is>
      </c>
      <c r="E97" s="128" t="n"/>
    </row>
    <row r="98">
      <c r="B98" s="4" t="n">
        <v>78</v>
      </c>
      <c r="C98" s="129" t="inlineStr">
        <is>
          <t>Circuito EXCLUSIVO para o carregador, com disjuntor dedicado e condutor dimensionado a 125% da corrente (NBR 5410, carga continua).</t>
        </is>
      </c>
      <c r="D98" s="9" t="inlineStr">
        <is>
          <t>Pendente</t>
        </is>
      </c>
      <c r="E98" s="128" t="n"/>
    </row>
    <row r="99">
      <c r="B99" s="4" t="n">
        <v>79</v>
      </c>
      <c r="C99" s="129" t="inlineStr">
        <is>
          <t>DPS no quadro do lado CA e DR/DDR conforme exigencia do fabricante do carregador.</t>
        </is>
      </c>
      <c r="D99" s="9" t="inlineStr">
        <is>
          <t>Pendente</t>
        </is>
      </c>
      <c r="E99" s="128" t="n"/>
    </row>
    <row r="100">
      <c r="B100" s="4" t="n">
        <v>80</v>
      </c>
      <c r="C100" s="129" t="inlineStr">
        <is>
          <t>Medicao da resistencia de aterramento. Inversor e carregador dependem de aterramento adequado.</t>
        </is>
      </c>
      <c r="D100" s="9" t="inlineStr">
        <is>
          <t>Pendente</t>
        </is>
      </c>
      <c r="E100" s="128" t="n"/>
    </row>
    <row r="101">
      <c r="B101" s="4" t="n">
        <v>81</v>
      </c>
      <c r="C101" s="129" t="inlineStr">
        <is>
          <t>Espaco livre no quadro de distribuicao para os novos disjuntores.</t>
        </is>
      </c>
      <c r="D101" s="9" t="inlineStr">
        <is>
          <t>Pendente</t>
        </is>
      </c>
      <c r="E101" s="128" t="n"/>
    </row>
    <row r="102">
      <c r="B102" s="4" t="n">
        <v>82</v>
      </c>
      <c r="C102" s="129" t="inlineStr">
        <is>
          <t>Definir o horario de carregamento. Telhado Sudeste gera mais de manha: carregar entre 9h e 14h aproveita a geracao direta e nao paga Fio B.</t>
        </is>
      </c>
      <c r="D102" s="9" t="inlineStr">
        <is>
          <t>Pendente</t>
        </is>
      </c>
      <c r="E102" s="128" t="n"/>
    </row>
    <row r="104">
      <c r="B104" s="8" t="n"/>
      <c r="C104" s="7" t="inlineStr">
        <is>
          <t>4) SO SE CONFIRMA COM INSPECAO PRESENCIAL - NAO ACEITE APENAS 'OK' NO WHATSAPP</t>
        </is>
      </c>
      <c r="D104" s="8" t="n"/>
      <c r="E104" s="8" t="n"/>
    </row>
    <row r="105">
      <c r="B105" s="4" t="n">
        <v>83</v>
      </c>
      <c r="C105" s="129" t="inlineStr">
        <is>
          <t>Capacidade estrutural do telhado e das tercas para receber de 10 a 14 modulos.</t>
        </is>
      </c>
      <c r="D105" s="9" t="inlineStr">
        <is>
          <t>Pendente</t>
        </is>
      </c>
      <c r="E105" s="128" t="n"/>
    </row>
    <row r="106">
      <c r="B106" s="4" t="n">
        <v>84</v>
      </c>
      <c r="C106" s="129" t="inlineStr">
        <is>
          <t>Area util real da agua Sudeste e quantas placas realmente cabem. NAO foram enviadas fotos do telhado: esta analise nao avaliou area disponivel, sombras, chamines, caixa d'agua nem obstaculos.</t>
        </is>
      </c>
      <c r="D106" s="9" t="inlineStr">
        <is>
          <t>Pendente</t>
        </is>
      </c>
      <c r="E106" s="128" t="n"/>
    </row>
    <row r="107">
      <c r="B107" s="4" t="n">
        <v>85</v>
      </c>
      <c r="C107" s="129" t="inlineStr">
        <is>
          <t>Sombreamento ao longo do dia e do ano (arvores, caixa d'agua, muros, vizinhos).</t>
        </is>
      </c>
      <c r="D107" s="9" t="inlineStr">
        <is>
          <t>Pendente</t>
        </is>
      </c>
      <c r="E107" s="128" t="n"/>
    </row>
    <row r="108">
      <c r="B108" s="4" t="n">
        <v>86</v>
      </c>
      <c r="C108" s="129" t="inlineStr">
        <is>
          <t>Distancia real do telhado ao inversor e do inversor ao quadro, para definir a bitola dos cabos.</t>
        </is>
      </c>
      <c r="D108" s="9" t="inlineStr">
        <is>
          <t>Pendente</t>
        </is>
      </c>
      <c r="E108" s="128" t="n"/>
    </row>
    <row r="109">
      <c r="B109" s="4" t="n">
        <v>87</v>
      </c>
      <c r="C109" s="129" t="inlineStr">
        <is>
          <t>Estado do padrao de entrada, do ramal e do medidor.</t>
        </is>
      </c>
      <c r="D109" s="9" t="inlineStr">
        <is>
          <t>Pendente</t>
        </is>
      </c>
      <c r="E109" s="12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4" customWidth="1" min="3" max="3"/>
    <col width="22" customWidth="1" min="4" max="4"/>
    <col width="22" customWidth="1" min="5" max="5"/>
    <col width="52" customWidth="1" min="6" max="6"/>
  </cols>
  <sheetData>
    <row r="1">
      <c r="A1" s="1" t="inlineStr">
        <is>
          <t>FORMULARIO PARA OS PROXIMOS ORCAMENTOS</t>
        </is>
      </c>
    </row>
    <row r="2">
      <c r="A2" s="2" t="inlineStr">
        <is>
          <t>Preencha uma coluna por vendedor. Depois copie os valores para as colunas correspondentes da aba COMPARATIVO.</t>
        </is>
      </c>
    </row>
    <row r="4">
      <c r="B4" s="17" t="inlineStr">
        <is>
          <t>DADO A COLETAR</t>
        </is>
      </c>
      <c r="C4" s="17" t="inlineStr">
        <is>
          <t>Bruno G4</t>
        </is>
      </c>
      <c r="D4" s="17" t="inlineStr">
        <is>
          <t>Vendedor 6</t>
        </is>
      </c>
      <c r="E4" s="17" t="inlineStr">
        <is>
          <t>Vendedor 7</t>
        </is>
      </c>
      <c r="F4" s="17" t="inlineStr">
        <is>
          <t>POR QUE IMPORTA</t>
        </is>
      </c>
    </row>
    <row r="5">
      <c r="B5" s="18" t="inlineStr">
        <is>
          <t>Empresa / razao social / CNPJ</t>
        </is>
      </c>
      <c r="C5" s="9" t="inlineStr"/>
      <c r="D5" s="9" t="inlineStr"/>
      <c r="E5" s="9" t="inlineStr"/>
      <c r="F5" s="80" t="inlineStr">
        <is>
          <t>Sem CNPJ nao existe garantia exigivel.</t>
        </is>
      </c>
    </row>
    <row r="6">
      <c r="B6" s="18" t="inlineStr">
        <is>
          <t>Contato</t>
        </is>
      </c>
      <c r="C6" s="9" t="inlineStr"/>
      <c r="D6" s="9" t="inlineStr"/>
      <c r="E6" s="9" t="inlineStr"/>
      <c r="F6" s="80" t="inlineStr">
        <is>
          <t>Bruno G4: (11) 96861-7830</t>
        </is>
      </c>
    </row>
    <row r="7">
      <c r="B7" s="18" t="inlineStr">
        <is>
          <t>Data da proposta e validade</t>
        </is>
      </c>
      <c r="C7" s="9" t="inlineStr"/>
      <c r="D7" s="9" t="inlineStr"/>
      <c r="E7" s="9" t="inlineStr"/>
      <c r="F7" s="80" t="inlineStr">
        <is>
          <t>Cotacoes de material valem poucos dias.</t>
        </is>
      </c>
    </row>
    <row r="8">
      <c r="B8" s="51" t="inlineStr">
        <is>
          <t>O PRECO E MATERIAL OU INSTALADO?</t>
        </is>
      </c>
      <c r="C8" s="9" t="inlineStr"/>
      <c r="D8" s="9" t="inlineStr"/>
      <c r="E8" s="9" t="inlineStr"/>
      <c r="F8" s="80" t="inlineStr">
        <is>
          <t>Pergunta mais importante da lista. Nunca compare os dois tipos.</t>
        </is>
      </c>
    </row>
    <row r="9">
      <c r="B9" s="18" t="inlineStr">
        <is>
          <t>Quantidade de modulos</t>
        </is>
      </c>
      <c r="C9" s="9" t="inlineStr"/>
      <c r="D9" s="9" t="inlineStr"/>
      <c r="E9" s="9" t="inlineStr"/>
      <c r="F9" s="80" t="inlineStr">
        <is>
          <t>Base do dimensionamento.</t>
        </is>
      </c>
    </row>
    <row r="10">
      <c r="B10" s="18" t="inlineStr">
        <is>
          <t>Potencia por modulo (W)</t>
        </is>
      </c>
      <c r="C10" s="9" t="inlineStr"/>
      <c r="D10" s="9" t="inlineStr"/>
      <c r="E10" s="9" t="inlineStr"/>
      <c r="F10" s="80" t="inlineStr">
        <is>
          <t>Quantidade x potencia / 1000 = kWp.</t>
        </is>
      </c>
    </row>
    <row r="11">
      <c r="B11" s="18" t="inlineStr">
        <is>
          <t>Fabricante, modelo e tecnologia do modulo</t>
        </is>
      </c>
      <c r="C11" s="9" t="inlineStr"/>
      <c r="D11" s="9" t="inlineStr"/>
      <c r="E11" s="9" t="inlineStr"/>
      <c r="F11" s="80" t="inlineStr">
        <is>
          <t>N-type TOPCon degrada menos que PERC.</t>
        </is>
      </c>
    </row>
    <row r="12">
      <c r="B12" s="18" t="inlineStr">
        <is>
          <t>Potencia total DC (kWp)</t>
        </is>
      </c>
      <c r="C12" s="9" t="inlineStr"/>
      <c r="D12" s="9" t="inlineStr"/>
      <c r="E12" s="9" t="inlineStr"/>
      <c r="F12" s="80" t="inlineStr">
        <is>
          <t>Confira se fecha com quantidade x potencia.</t>
        </is>
      </c>
    </row>
    <row r="13">
      <c r="B13" s="18" t="inlineStr">
        <is>
          <t>Fabricante e modelo exato do inversor</t>
        </is>
      </c>
      <c r="C13" s="9" t="inlineStr"/>
      <c r="D13" s="9" t="inlineStr"/>
      <c r="E13" s="9" t="inlineStr"/>
      <c r="F13" s="80" t="inlineStr">
        <is>
          <t>Exigir o codigo, nao 'hibrido 6 kW'.</t>
        </is>
      </c>
    </row>
    <row r="14">
      <c r="B14" s="18" t="inlineStr">
        <is>
          <t>Potencia AC do inversor (kW)</t>
        </is>
      </c>
      <c r="C14" s="9" t="inlineStr"/>
      <c r="D14" s="9" t="inlineStr"/>
      <c r="E14" s="9" t="inlineStr"/>
      <c r="F14" s="80" t="inlineStr">
        <is>
          <t>Limita a injecao e a expansao futura.</t>
        </is>
      </c>
    </row>
    <row r="15">
      <c r="B15" s="18" t="inlineStr">
        <is>
          <t>Corrente maxima por MPPT (A)</t>
        </is>
      </c>
      <c r="C15" s="9" t="inlineStr"/>
      <c r="D15" s="9" t="inlineStr"/>
      <c r="E15" s="9" t="inlineStr"/>
      <c r="F15" s="80" t="inlineStr">
        <is>
          <t>Precisa ser maior que a corrente do modulo.</t>
        </is>
      </c>
    </row>
    <row r="16">
      <c r="B16" s="18" t="inlineStr">
        <is>
          <t>Corrente de operacao do modulo - Impp (A)</t>
        </is>
      </c>
      <c r="C16" s="9" t="inlineStr"/>
      <c r="D16" s="9" t="inlineStr"/>
      <c r="E16" s="9" t="inlineStr"/>
      <c r="F16" s="80" t="inlineStr">
        <is>
          <t>Se for maior que a do MPPT, perde geracao.</t>
        </is>
      </c>
    </row>
    <row r="17">
      <c r="B17" s="18" t="inlineStr">
        <is>
          <t>Numero de MPPTs</t>
        </is>
      </c>
      <c r="C17" s="9" t="inlineStr"/>
      <c r="D17" s="9" t="inlineStr"/>
      <c r="E17" s="9" t="inlineStr"/>
      <c r="F17" s="80" t="inlineStr">
        <is>
          <t>2 ou mais ajuda em telhado com aguas diferentes.</t>
        </is>
      </c>
    </row>
    <row r="18">
      <c r="B18" s="18" t="inlineStr">
        <is>
          <t>O inversor aceita bateria? Qual modelo?</t>
        </is>
      </c>
      <c r="C18" s="9" t="inlineStr"/>
      <c r="D18" s="9" t="inlineStr"/>
      <c r="E18" s="9" t="inlineStr"/>
      <c r="F18" s="80" t="inlineStr">
        <is>
          <t>Se cobra 'hibrido', tem que entregar hibrido.</t>
        </is>
      </c>
    </row>
    <row r="19">
      <c r="B19" s="18" t="inlineStr">
        <is>
          <t>Geracao prometida (kWh/mes e kWh/ano)</t>
        </is>
      </c>
      <c r="C19" s="9" t="inlineStr"/>
      <c r="D19" s="9" t="inlineStr"/>
      <c r="E19" s="9" t="inlineStr"/>
      <c r="F19" s="80" t="inlineStr">
        <is>
          <t>Compare com a coluna I da aba GERACAO.</t>
        </is>
      </c>
    </row>
    <row r="20">
      <c r="B20" s="18" t="inlineStr">
        <is>
          <t>A simulacao usou qual azimute e inclinacao?</t>
        </is>
      </c>
      <c r="C20" s="9" t="inlineStr"/>
      <c r="D20" s="9" t="inlineStr"/>
      <c r="E20" s="9" t="inlineStr"/>
      <c r="F20" s="80" t="inlineStr">
        <is>
          <t>Se usou Norte, nao vale para o seu telhado Sudeste.</t>
        </is>
      </c>
    </row>
    <row r="21">
      <c r="B21" s="18" t="inlineStr">
        <is>
          <t>Software da simulacao e relatorio em PDF</t>
        </is>
      </c>
      <c r="C21" s="9" t="inlineStr"/>
      <c r="D21" s="9" t="inlineStr"/>
      <c r="E21" s="9" t="inlineStr"/>
      <c r="F21" s="80" t="inlineStr">
        <is>
          <t>PVsol, PVsyst ou Solergo. Recusar planilha caseira.</t>
        </is>
      </c>
    </row>
    <row r="22">
      <c r="B22" s="18" t="inlineStr">
        <is>
          <t>Considerou o carregamento diario do BYD?</t>
        </is>
      </c>
      <c r="C22" s="9" t="inlineStr"/>
      <c r="D22" s="9" t="inlineStr"/>
      <c r="E22" s="9" t="inlineStr"/>
      <c r="F22" s="80" t="inlineStr">
        <is>
          <t>Se nao perguntou do carro, dimensionou pela conta antiga.</t>
        </is>
      </c>
    </row>
    <row r="23">
      <c r="B23" s="18" t="inlineStr">
        <is>
          <t>Preco a vista (R$)</t>
        </is>
      </c>
      <c r="C23" s="9" t="inlineStr"/>
      <c r="D23" s="9" t="inlineStr"/>
      <c r="E23" s="9" t="inlineStr"/>
      <c r="F23" s="80" t="inlineStr">
        <is>
          <t>Base do payback.</t>
        </is>
      </c>
    </row>
    <row r="24">
      <c r="B24" s="18" t="inlineStr">
        <is>
          <t>Acrescimos (frete, regiao, estrutura)</t>
        </is>
      </c>
      <c r="C24" s="9" t="inlineStr"/>
      <c r="D24" s="9" t="inlineStr"/>
      <c r="E24" s="9" t="inlineStr"/>
      <c r="F24" s="80" t="inlineStr">
        <is>
          <t>SunWash cobra +R$ 1.800 pela regiao.</t>
        </is>
      </c>
    </row>
    <row r="25">
      <c r="B25" s="18" t="inlineStr">
        <is>
          <t>Inclui projeto, ART e homologacao na Enel?</t>
        </is>
      </c>
      <c r="C25" s="9" t="inlineStr"/>
      <c r="D25" s="9" t="inlineStr"/>
      <c r="E25" s="9" t="inlineStr"/>
      <c r="F25" s="80" t="inlineStr">
        <is>
          <t>Sem isso o sistema nao compensa energia legalmente.</t>
        </is>
      </c>
    </row>
    <row r="26">
      <c r="B26" s="18" t="inlineStr">
        <is>
          <t>Inclui protecao CA: disjuntor dedicado + DPS?</t>
        </is>
      </c>
      <c r="C26" s="9" t="inlineStr"/>
      <c r="D26" s="9" t="inlineStr"/>
      <c r="E26" s="9" t="inlineStr"/>
      <c r="F26" s="80" t="inlineStr">
        <is>
          <t>Faltou nas duas cotacoes da TecSolarSP.</t>
        </is>
      </c>
    </row>
    <row r="27">
      <c r="B27" s="18" t="inlineStr">
        <is>
          <t>Inclui aterramento e equipotencializacao?</t>
        </is>
      </c>
      <c r="C27" s="9" t="inlineStr"/>
      <c r="D27" s="9" t="inlineStr"/>
      <c r="E27" s="9" t="inlineStr"/>
      <c r="F27" s="80" t="inlineStr">
        <is>
          <t>Faltou na cotacao Astronergy.</t>
        </is>
      </c>
    </row>
    <row r="28">
      <c r="B28" s="51" t="inlineStr">
        <is>
          <t>INCLUI A ADEQUACAO DO PADRAO MONO -&gt; BIFASICO?</t>
        </is>
      </c>
      <c r="C28" s="9" t="inlineStr"/>
      <c r="D28" s="9" t="inlineStr"/>
      <c r="E28" s="9" t="inlineStr"/>
      <c r="F28" s="80" t="inlineStr">
        <is>
          <t>Nenhum dos quatro incluiu. Pode custar milhares.</t>
        </is>
      </c>
    </row>
    <row r="29">
      <c r="B29" s="18" t="inlineStr">
        <is>
          <t>Inclui o carregador do veiculo e o circuito dele?</t>
        </is>
      </c>
      <c r="C29" s="9" t="inlineStr"/>
      <c r="D29" s="9" t="inlineStr"/>
      <c r="E29" s="9" t="inlineStr"/>
      <c r="F29" s="80" t="inlineStr">
        <is>
          <t>Circuito dedicado com disjuntor e DR proprios.</t>
        </is>
      </c>
    </row>
    <row r="30">
      <c r="B30" s="18" t="inlineStr">
        <is>
          <t>Garantia do modulo: produto / performance (anos)</t>
        </is>
      </c>
      <c r="C30" s="9" t="inlineStr"/>
      <c r="D30" s="9" t="inlineStr"/>
      <c r="E30" s="9" t="inlineStr"/>
      <c r="F30" s="80" t="inlineStr">
        <is>
          <t>Tipico: 12 a 15 anos produto, 25 a 30 performance.</t>
        </is>
      </c>
    </row>
    <row r="31">
      <c r="B31" s="18" t="inlineStr">
        <is>
          <t>Garantia do inversor (anos)</t>
        </is>
      </c>
      <c r="C31" s="9" t="inlineStr"/>
      <c r="D31" s="9" t="inlineStr"/>
      <c r="E31" s="9" t="inlineStr"/>
      <c r="F31" s="80" t="inlineStr">
        <is>
          <t>Tipico: 5 a 10 anos, extensivel.</t>
        </is>
      </c>
    </row>
    <row r="32">
      <c r="B32" s="18" t="inlineStr">
        <is>
          <t>Garantia da instalacao e contra infiltracao</t>
        </is>
      </c>
      <c r="C32" s="9" t="inlineStr"/>
      <c r="D32" s="9" t="inlineStr"/>
      <c r="E32" s="9" t="inlineStr"/>
      <c r="F32" s="80" t="inlineStr">
        <is>
          <t>Telhado perfurado e o maior risco pos-obra.</t>
        </is>
      </c>
    </row>
    <row r="33">
      <c r="B33" s="18" t="inlineStr">
        <is>
          <t>Prazo de execucao (dias)</t>
        </is>
      </c>
      <c r="C33" s="9" t="inlineStr"/>
      <c r="D33" s="9" t="inlineStr"/>
      <c r="E33" s="9" t="inlineStr"/>
      <c r="F33" s="80" t="inlineStr">
        <is>
          <t>Inclui o tempo de homologacao na Enel.</t>
        </is>
      </c>
    </row>
    <row r="34">
      <c r="B34" s="18" t="inlineStr">
        <is>
          <t>Distancia da equipe de assistencia (km)</t>
        </is>
      </c>
      <c r="C34" s="9" t="inlineStr"/>
      <c r="D34" s="9" t="inlineStr"/>
      <c r="E34" s="9" t="inlineStr"/>
      <c r="F34" s="80" t="inlineStr">
        <is>
          <t>Afeta o tempo de resposta em falha.</t>
        </is>
      </c>
    </row>
    <row r="35">
      <c r="B35" s="18" t="inlineStr">
        <is>
          <t>Tipo de telha que o orcamento considerou</t>
        </is>
      </c>
      <c r="C35" s="9" t="inlineStr"/>
      <c r="D35" s="9" t="inlineStr"/>
      <c r="E35" s="9" t="inlineStr"/>
      <c r="F35" s="80" t="inlineStr">
        <is>
          <t>TecSolarSP disse fibrocimento, William disse colonial.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0" customWidth="1" min="3" max="3"/>
    <col width="10" customWidth="1" min="4" max="4"/>
    <col width="16" customWidth="1" min="5" max="5"/>
    <col width="62" customWidth="1" min="6" max="6"/>
  </cols>
  <sheetData>
    <row r="1">
      <c r="A1" s="1" t="inlineStr">
        <is>
          <t>RECEBIMENTO DO MATERIAL - PEDIDO ROUTE 66 No 7123382</t>
        </is>
      </c>
    </row>
    <row r="2">
      <c r="A2" s="2" t="inlineStr">
        <is>
          <t>Conferencia fisica feita em 26 e 27/08/2026 pelas fotos das caixas. Amarelo = preencher conforme conferir.</t>
        </is>
      </c>
    </row>
    <row r="4">
      <c r="B4" s="7" t="inlineStr">
        <is>
          <t>1) ITENS DO PEDIDO</t>
        </is>
      </c>
      <c r="C4" s="8" t="n"/>
      <c r="D4" s="8" t="n"/>
      <c r="E4" s="8" t="n"/>
      <c r="F4" s="8" t="n"/>
    </row>
    <row r="5" ht="30" customHeight="1">
      <c r="B5" s="17" t="inlineStr">
        <is>
          <t>Item</t>
        </is>
      </c>
      <c r="C5" s="17" t="inlineStr">
        <is>
          <t>Pedido</t>
        </is>
      </c>
      <c r="D5" s="17" t="inlineStr">
        <is>
          <t>Recebido</t>
        </is>
      </c>
      <c r="E5" s="17" t="inlineStr">
        <is>
          <t>Status</t>
        </is>
      </c>
      <c r="F5" s="17" t="inlineStr">
        <is>
          <t>Observacao</t>
        </is>
      </c>
    </row>
    <row r="6">
      <c r="B6" s="18" t="inlineStr">
        <is>
          <t>Painel ZNShine ZXNR-MD132-650 650 W</t>
        </is>
      </c>
      <c r="C6" s="18" t="n">
        <v>10</v>
      </c>
      <c r="D6" s="11" t="n">
        <v>10</v>
      </c>
      <c r="E6" s="117" t="inlineStr">
        <is>
          <t>CONFERIDO</t>
        </is>
      </c>
      <c r="F6" s="106" t="inlineStr">
        <is>
          <t>Confirmado pelo cliente em 27/08. 10 x 650 W = 6,50 kWp - bate com a ART e com o app Deye</t>
        </is>
      </c>
    </row>
    <row r="7">
      <c r="B7" s="18" t="inlineStr">
        <is>
          <t>Microinversor Deye SUN-S225G4-EU-Q0 2,25 kW</t>
        </is>
      </c>
      <c r="C7" s="18" t="n">
        <v>3</v>
      </c>
      <c r="D7" s="11" t="n">
        <v>3</v>
      </c>
      <c r="E7" s="117" t="inlineStr">
        <is>
          <t>CONFERIDO</t>
        </is>
      </c>
      <c r="F7" s="106" t="inlineStr">
        <is>
          <t>3 CAIXAS confirmadas. Encerra a divergencia proposta (4) x pedido (3). Anexo 4 da Enel diz 4 e esta ERRADO</t>
        </is>
      </c>
    </row>
    <row r="8">
      <c r="B8" s="18" t="inlineStr">
        <is>
          <t>Estrutura HS-KIT4P-CER (kit ceramico 4 placas)</t>
        </is>
      </c>
      <c r="C8" s="18" t="n">
        <v>3</v>
      </c>
      <c r="D8" s="11" t="n">
        <v>0</v>
      </c>
      <c r="E8" s="130" t="inlineStr">
        <is>
          <t>CONFERIR</t>
        </is>
      </c>
      <c r="F8" s="106" t="inlineStr">
        <is>
          <t>Vista 1 caixa na foto. Codigo confirma telha CERAMICA e 4 placas por kit. 3 kits = 12 lugares</t>
        </is>
      </c>
    </row>
    <row r="9">
      <c r="B9" s="18" t="inlineStr">
        <is>
          <t>Perfil aluminio 2400 mm - 1 par</t>
        </is>
      </c>
      <c r="C9" s="18" t="n">
        <v>5</v>
      </c>
      <c r="D9" s="11" t="n">
        <v>0</v>
      </c>
      <c r="E9" s="130" t="inlineStr">
        <is>
          <t>CONFERIR</t>
        </is>
      </c>
      <c r="F9" s="106" t="inlineStr">
        <is>
          <t>Volumes LONGOS, embalagem separada. O kit e S/PERFIL - os trilhos vem a parte</t>
        </is>
      </c>
    </row>
    <row r="10">
      <c r="B10" s="18" t="inlineStr">
        <is>
          <t>Conector MC4 par macho/femea STAUBLI</t>
        </is>
      </c>
      <c r="C10" s="18" t="n">
        <v>20</v>
      </c>
      <c r="D10" s="11" t="n">
        <v>0</v>
      </c>
      <c r="E10" s="130" t="inlineStr">
        <is>
          <t>CONFERIR</t>
        </is>
      </c>
      <c r="F10" s="106" t="inlineStr">
        <is>
          <t>20 pares para 10 modulos</t>
        </is>
      </c>
    </row>
    <row r="11">
      <c r="B11" s="18" t="inlineStr">
        <is>
          <t>Parafuso T M8 x 40 / porca / arruela</t>
        </is>
      </c>
      <c r="C11" s="18" t="n">
        <v>6</v>
      </c>
      <c r="D11" s="11" t="n">
        <v>0</v>
      </c>
      <c r="E11" s="130" t="inlineStr">
        <is>
          <t>CONFERIR</t>
        </is>
      </c>
      <c r="F11" s="106" t="inlineStr">
        <is>
          <t>Fixacao da estrutura</t>
        </is>
      </c>
    </row>
    <row r="12">
      <c r="B12" s="18" t="inlineStr">
        <is>
          <t>Placa de advertencia geracao solar</t>
        </is>
      </c>
      <c r="C12" s="18" t="n">
        <v>3</v>
      </c>
      <c r="D12" s="11" t="n">
        <v>0</v>
      </c>
      <c r="E12" s="130" t="inlineStr">
        <is>
          <t>CONFERIR</t>
        </is>
      </c>
      <c r="F12" s="106" t="inlineStr">
        <is>
          <t>Cortesia da Route 66</t>
        </is>
      </c>
    </row>
    <row r="15">
      <c r="B15" s="7" t="inlineStr">
        <is>
          <t>2) ITENS QUE NAO EXISTEM NO PEDIDO - e sem eles o sistema nao liga</t>
        </is>
      </c>
      <c r="C15" s="8" t="n"/>
      <c r="D15" s="8" t="n"/>
      <c r="E15" s="8" t="n"/>
      <c r="F15" s="8" t="n"/>
    </row>
    <row r="16">
      <c r="B16" s="18" t="inlineStr">
        <is>
          <t>Cabo CA / cabo tronco dos microinversores</t>
        </is>
      </c>
      <c r="C16" s="115" t="inlineStr">
        <is>
          <t>AUSENTE</t>
        </is>
      </c>
      <c r="D16" s="116" t="n"/>
      <c r="E16" s="106" t="inlineStr">
        <is>
          <t>Sem ele os micros nao chegam ao quadro</t>
        </is>
      </c>
      <c r="F16" s="116" t="n"/>
    </row>
    <row r="17">
      <c r="B17" s="18" t="inlineStr">
        <is>
          <t>Conectores de tronco e TAMPAS DE TERMINACAO Deye</t>
        </is>
      </c>
      <c r="C17" s="115" t="inlineStr">
        <is>
          <t>AUSENTE</t>
        </is>
      </c>
      <c r="D17" s="116" t="n"/>
      <c r="E17" s="106" t="inlineStr">
        <is>
          <t>Pecas proprietarias. Sem elas nao se interliga os micros</t>
        </is>
      </c>
      <c r="F17" s="116" t="n"/>
    </row>
    <row r="18">
      <c r="B18" s="18" t="inlineStr">
        <is>
          <t>Disjuntor CA dedicado do sistema</t>
        </is>
      </c>
      <c r="C18" s="115" t="inlineStr">
        <is>
          <t>AUSENTE</t>
        </is>
      </c>
      <c r="D18" s="116" t="n"/>
      <c r="E18" s="106" t="inlineStr">
        <is>
          <t>Obrigatorio pela NBR 5410</t>
        </is>
      </c>
      <c r="F18" s="116" t="n"/>
    </row>
    <row r="19">
      <c r="B19" s="18" t="inlineStr">
        <is>
          <t>DPS - protecao contra surtos (CA)</t>
        </is>
      </c>
      <c r="C19" s="115" t="inlineStr">
        <is>
          <t>AUSENTE</t>
        </is>
      </c>
      <c r="D19" s="116" t="n"/>
      <c r="E19" s="106" t="inlineStr">
        <is>
          <t>Obrigatorio. A proposta dizia 'PROTECOES INCLUSAS'</t>
        </is>
      </c>
      <c r="F19" s="116" t="n"/>
    </row>
    <row r="20">
      <c r="B20" s="18" t="inlineStr">
        <is>
          <t>Quadro / caixa de protecao CA</t>
        </is>
      </c>
      <c r="C20" s="115" t="inlineStr">
        <is>
          <t>AUSENTE</t>
        </is>
      </c>
      <c r="D20" s="116" t="n"/>
      <c r="E20" s="106" t="inlineStr">
        <is>
          <t>Onde entram disjuntor e DPS</t>
        </is>
      </c>
      <c r="F20" s="116" t="n"/>
    </row>
    <row r="21">
      <c r="B21" s="18" t="inlineStr">
        <is>
          <t>Cabo e material de aterramento</t>
        </is>
      </c>
      <c r="C21" s="115" t="inlineStr">
        <is>
          <t>AUSENTE</t>
        </is>
      </c>
      <c r="D21" s="116" t="n"/>
      <c r="E21" s="106" t="inlineStr">
        <is>
          <t>Molduras e estrutura precisam ser aterradas</t>
        </is>
      </c>
      <c r="F21" s="116" t="n"/>
    </row>
    <row r="22">
      <c r="B22" s="18" t="inlineStr">
        <is>
          <t>Eletroduto / eletrocalha</t>
        </is>
      </c>
      <c r="C22" s="115" t="inlineStr">
        <is>
          <t>AUSENTE</t>
        </is>
      </c>
      <c r="D22" s="116" t="n"/>
      <c r="E22" s="106" t="inlineStr">
        <is>
          <t>Infraestrutura de passagem</t>
        </is>
      </c>
      <c r="F22" s="116" t="n"/>
    </row>
    <row r="23">
      <c r="B23" s="18" t="inlineStr">
        <is>
          <t>Material do padrao de entrada mono -&gt; bifasico</t>
        </is>
      </c>
      <c r="C23" s="115" t="inlineStr">
        <is>
          <t>AUSENTE</t>
        </is>
      </c>
      <c r="D23" s="116" t="n"/>
      <c r="E23" s="106" t="inlineStr">
        <is>
          <t>A proposta pag. 5 dizia incluir. O pedido nao tem nada</t>
        </is>
      </c>
      <c r="F23" s="116" t="n"/>
    </row>
    <row r="25">
      <c r="B25" s="3" t="inlineStr">
        <is>
          <t>3) O QUE AINDA PRECISA SER FOTOGRAFADO</t>
        </is>
      </c>
    </row>
    <row r="26">
      <c r="B26" s="4" t="inlineStr">
        <is>
          <t xml:space="preserve">  a) Etiqueta de dados colada no CORPO de cada microinversor: modelo exato, NUMERO DE SERIE e registro Inmetro.</t>
        </is>
      </c>
    </row>
    <row r="27">
      <c r="B27" s="4" t="inlineStr">
        <is>
          <t xml:space="preserve">     A Enel pede numero de serie na vistoria e a Deye usa esse numero para registrar a garantia.</t>
        </is>
      </c>
    </row>
    <row r="28">
      <c r="B28" s="4" t="inlineStr">
        <is>
          <t xml:space="preserve">  b) Etiqueta atras de um painel: confirmar ZXNR-MD132-650, 650 W e a eficiencia do modelo monofacial.</t>
        </is>
      </c>
    </row>
    <row r="29">
      <c r="B29" s="4" t="inlineStr">
        <is>
          <t xml:space="preserve">  c) Nota fiscal: quantos micros foram faturados e com QUAL MODELO escrito.</t>
        </is>
      </c>
    </row>
    <row r="30">
      <c r="B30" s="4" t="inlineStr"/>
    </row>
    <row r="31">
      <c r="B31" s="5" t="inlineStr">
        <is>
          <t>ALERTA DE CADASTRO: a Route 66 anuncia o produto como 'SUN-S225G4-EU-Q0' mas o COD. FABRICA no cadastro dela</t>
        </is>
      </c>
    </row>
    <row r="32">
      <c r="B32" s="4" t="inlineStr">
        <is>
          <t>diz 'SUN-M225G-EU' - serie M, sem o 4 do G4 e sem o sufixo Q0. A CAIXA fisica traz S225G4-EU-Q0 marcado.</t>
        </is>
      </c>
    </row>
    <row r="33">
      <c r="B33" s="4" t="inlineStr">
        <is>
          <t>Exigir NF com o modelo da caixa: divergencia de modelo trava chamado de garantia e pode gerar pendencia no Inmetro.</t>
        </is>
      </c>
    </row>
    <row r="34">
      <c r="B34" s="4" t="inlineStr"/>
    </row>
    <row r="35">
      <c r="B35" s="4" t="inlineStr">
        <is>
          <t>EMBALAGEM REAPROVEITADA: parte do material veio em caixa da Intelbras (fechadura IFX 4000 ID) que a Route 66</t>
        </is>
      </c>
    </row>
    <row r="36">
      <c r="B36" s="4" t="inlineStr">
        <is>
          <t>recebeu em 17/07/26. Nao e irregularidade, mas conferir o conteudo item a item - etiqueta reaproveitada esconde erro.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60" customWidth="1" min="6" max="6"/>
  </cols>
  <sheetData>
    <row r="1">
      <c r="A1" s="1" t="inlineStr">
        <is>
          <t>DOCUMENTOS DE HOMOLOGACAO - CONFERENCIA E DIVERGENCIAS</t>
        </is>
      </c>
    </row>
    <row r="2">
      <c r="A2" s="2" t="inlineStr">
        <is>
          <t>ART CREA 2620262606721 | Anexo 1 e Anexo 4 da NT 6.010 | Procuracao - todos de 13 a 19/08/2026. NENHUM ASSINADO ainda.</t>
        </is>
      </c>
    </row>
    <row r="4">
      <c r="B4" s="7" t="inlineStr">
        <is>
          <t>1) A MESMA GRANDEZA, TRES VALORES DIFERENTES</t>
        </is>
      </c>
      <c r="C4" s="8" t="n"/>
      <c r="D4" s="8" t="n"/>
      <c r="E4" s="8" t="n"/>
      <c r="F4" s="8" t="n"/>
    </row>
    <row r="5" ht="30" customHeight="1">
      <c r="B5" s="17" t="inlineStr">
        <is>
          <t>Documento</t>
        </is>
      </c>
      <c r="C5" s="17" t="inlineStr">
        <is>
          <t>Potencia declarada</t>
        </is>
      </c>
      <c r="D5" s="17" t="inlineStr">
        <is>
          <t>Realidade fisica</t>
        </is>
      </c>
      <c r="E5" s="17" t="inlineStr">
        <is>
          <t>Status</t>
        </is>
      </c>
      <c r="F5" s="17" t="inlineStr">
        <is>
          <t>Comentario</t>
        </is>
      </c>
    </row>
    <row r="6">
      <c r="B6" s="18" t="inlineStr">
        <is>
          <t>ART CREA 2620262606721</t>
        </is>
      </c>
      <c r="C6" s="18" t="inlineStr">
        <is>
          <t>6,50 kWp</t>
        </is>
      </c>
      <c r="D6" s="18" t="inlineStr">
        <is>
          <t>6,50 kWp (10 x 650 W)</t>
        </is>
      </c>
      <c r="E6" s="117" t="inlineStr">
        <is>
          <t>OK</t>
        </is>
      </c>
      <c r="F6" s="106" t="inlineStr">
        <is>
          <t>Cobre projeto E execucao. Valor de contrato R$ 1,00. Prazo 13/08 a 13/09/2026 - vai precisar prorrogar</t>
        </is>
      </c>
    </row>
    <row r="7">
      <c r="B7" s="18" t="inlineStr">
        <is>
          <t>Anexo 1 - Formulario de Solicitacao</t>
        </is>
      </c>
      <c r="C7" s="18" t="inlineStr">
        <is>
          <t>6,50 kW</t>
        </is>
      </c>
      <c r="D7" s="18" t="inlineStr">
        <is>
          <t>6,75 kW AC (3 micros)</t>
        </is>
      </c>
      <c r="E7" s="130" t="inlineStr">
        <is>
          <t>CORRIGIR</t>
        </is>
      </c>
      <c r="F7" s="106" t="inlineStr">
        <is>
          <t>A Enel considera a potencia do INVERSOR (AC), nao a dos modulos. Declarar 6,75 kW</t>
        </is>
      </c>
    </row>
    <row r="8">
      <c r="B8" s="18" t="inlineStr">
        <is>
          <t>Anexo 4 - Dados da Unidade</t>
        </is>
      </c>
      <c r="C8" s="18" t="inlineStr">
        <is>
          <t>8,45 kW</t>
        </is>
      </c>
      <c r="D8" s="18" t="inlineStr">
        <is>
          <t>6,75 kW AC</t>
        </is>
      </c>
      <c r="E8" s="115" t="inlineStr">
        <is>
          <t>ERRADO</t>
        </is>
      </c>
      <c r="F8" s="106" t="inlineStr">
        <is>
          <t>8,45 kW = 13 x 650 W. Nao existe painel para isso. Provavel copia de outro projeto ou do dimensionamento alvo</t>
        </is>
      </c>
    </row>
    <row r="9">
      <c r="B9" s="18" t="inlineStr">
        <is>
          <t>Anexo 4 - quantidade de inversores</t>
        </is>
      </c>
      <c r="C9" s="18" t="inlineStr">
        <is>
          <t>04 micros + 04 subpaineis</t>
        </is>
      </c>
      <c r="D9" s="18" t="inlineStr">
        <is>
          <t>3 micros</t>
        </is>
      </c>
      <c r="E9" s="115" t="inlineStr">
        <is>
          <t>ERRADO</t>
        </is>
      </c>
      <c r="F9" s="106" t="inlineStr">
        <is>
          <t>CONFIRMADO FISICAMENTE: 3 caixas. Se homologar 4 e instalar 3, reprova na vistoria</t>
        </is>
      </c>
    </row>
    <row r="10">
      <c r="B10" s="18" t="inlineStr">
        <is>
          <t>App Deye Cloud (equipamento)</t>
        </is>
      </c>
      <c r="C10" s="18" t="inlineStr">
        <is>
          <t>6,50 kWp</t>
        </is>
      </c>
      <c r="D10" s="18" t="inlineStr">
        <is>
          <t>6,50 kWp</t>
        </is>
      </c>
      <c r="E10" s="117" t="inlineStr">
        <is>
          <t>OK</t>
        </is>
      </c>
      <c r="F10" s="106" t="inlineStr">
        <is>
          <t>O proprio equipamento reporta 6,50 kWp - mais uma prova de que o 8,45 do Anexo 4 esta errado</t>
        </is>
      </c>
    </row>
    <row r="13">
      <c r="B13" s="7" t="inlineStr">
        <is>
          <t>2) OUTRAS DIVERGENCIAS</t>
        </is>
      </c>
      <c r="C13" s="8" t="n"/>
      <c r="D13" s="8" t="n"/>
      <c r="E13" s="8" t="n"/>
      <c r="F13" s="8" t="n"/>
    </row>
    <row r="14">
      <c r="B14" s="18" t="inlineStr">
        <is>
          <t>Tipo de conexao</t>
        </is>
      </c>
      <c r="C14" s="18" t="inlineStr">
        <is>
          <t>Anexo 1 marca BIFASICA</t>
        </is>
      </c>
      <c r="D14" s="18" t="inlineStr">
        <is>
          <t>Padrao atual e MONOFASICO</t>
        </is>
      </c>
      <c r="E14" s="115" t="inlineStr">
        <is>
          <t>CRITICO</t>
        </is>
      </c>
      <c r="F14" s="106" t="inlineStr">
        <is>
          <t>O formulario ja pressupoe a adequacao que NINGUEM incluiu no preco. Custo estimado R$ 2.500 + disponibilidade 30 -&gt; 50 kWh/mes</t>
        </is>
      </c>
    </row>
    <row r="15">
      <c r="B15" s="18" t="inlineStr">
        <is>
          <t>Tensao de atendimento</t>
        </is>
      </c>
      <c r="C15" s="18" t="inlineStr">
        <is>
          <t>120/240 V</t>
        </is>
      </c>
      <c r="D15" s="18" t="inlineStr">
        <is>
          <t>Enel SP e 127/220 V</t>
        </is>
      </c>
      <c r="E15" s="130" t="inlineStr">
        <is>
          <t>CONFERIR</t>
        </is>
      </c>
      <c r="F15" s="106" t="inlineStr">
        <is>
          <t>Anexo 1 e Anexo 4 marcam 120/240V. Conferir na fatura. Se errado, e pendencia quase certa no parecer</t>
        </is>
      </c>
    </row>
    <row r="16">
      <c r="B16" s="18" t="inlineStr">
        <is>
          <t>Modelo do microinversor</t>
        </is>
      </c>
      <c r="C16" s="18" t="inlineStr">
        <is>
          <t>SUNS225G4-EUQ0</t>
        </is>
      </c>
      <c r="D16" s="18" t="inlineStr">
        <is>
          <t>SUN-S225G4-EU-Q0 (caixa)</t>
        </is>
      </c>
      <c r="E16" s="117" t="inlineStr">
        <is>
          <t>OK</t>
        </is>
      </c>
      <c r="F16" s="106" t="inlineStr">
        <is>
          <t>O Anexo 4 esta CERTO. Quem erra e o cadastro da Route 66 (COD FABRICA SUN-M225G-EU) e a linha antiga desta planilha</t>
        </is>
      </c>
    </row>
    <row r="17">
      <c r="B17" s="18" t="inlineStr">
        <is>
          <t>Responsavel tecnico</t>
        </is>
      </c>
      <c r="C17" s="18" t="inlineStr">
        <is>
          <t>Alan Monteiro de Lima</t>
        </is>
      </c>
      <c r="D17" s="18" t="inlineStr">
        <is>
          <t>MBA Solar - Ribeirao Preto</t>
        </is>
      </c>
      <c r="E17" s="130" t="inlineStr">
        <is>
          <t>ATENCAO</t>
        </is>
      </c>
      <c r="F17" s="106" t="inlineStr">
        <is>
          <t>CREA-SP 5070710126, engenharia@mbasolar.com.br. ART terceirizada, de outra empresa e outra cidade. CNPJ da SunWash segue NAO INFORMADO</t>
        </is>
      </c>
    </row>
    <row r="18">
      <c r="B18" s="18" t="inlineStr">
        <is>
          <t>E-mail do titular</t>
        </is>
      </c>
      <c r="C18" s="18" t="inlineStr">
        <is>
          <t>Henrique.onyx@hotmail.com</t>
        </is>
      </c>
      <c r="D18" s="18" t="inlineStr">
        <is>
          <t>confirmar qual e o usado</t>
        </is>
      </c>
      <c r="E18" s="130" t="inlineStr">
        <is>
          <t>CONFERIR</t>
        </is>
      </c>
      <c r="F18" s="106" t="inlineStr">
        <is>
          <t>E para esse e-mail que a Enel manda o parecer de acesso e os prazos</t>
        </is>
      </c>
    </row>
    <row r="19">
      <c r="B19" s="18" t="inlineStr">
        <is>
          <t>Carga instalada declarada</t>
        </is>
      </c>
      <c r="C19" s="18" t="inlineStr">
        <is>
          <t>13 kW</t>
        </is>
      </c>
      <c r="D19" s="18" t="inlineStr">
        <is>
          <t>confirmar</t>
        </is>
      </c>
      <c r="E19" s="130" t="inlineStr">
        <is>
          <t>CONFERIR</t>
        </is>
      </c>
      <c r="F19" s="106" t="inlineStr">
        <is>
          <t>Inclui o carregador do BYD? A carga instalada define disjuntor e padrao</t>
        </is>
      </c>
    </row>
    <row r="20">
      <c r="B20" s="18" t="inlineStr">
        <is>
          <t>Anexo 1 - item 4 da documentacao</t>
        </is>
      </c>
      <c r="C20" s="18" t="inlineStr">
        <is>
          <t>NAO marcado</t>
        </is>
      </c>
      <c r="D20" s="18" t="inlineStr">
        <is>
          <t>dados p/ registro ANEEL</t>
        </is>
      </c>
      <c r="E20" s="130" t="inlineStr">
        <is>
          <t>CONFERIR</t>
        </is>
      </c>
      <c r="F20" s="106" t="inlineStr">
        <is>
          <t>Itens 1, 2 e 3 marcados. O item 4 em branco pode voltar como pendencia</t>
        </is>
      </c>
    </row>
    <row r="21">
      <c r="B21" s="18" t="inlineStr">
        <is>
          <t>ART - contrato</t>
        </is>
      </c>
      <c r="C21" s="18" t="inlineStr">
        <is>
          <t>Celebrado em 13/08/2026</t>
        </is>
      </c>
      <c r="D21" s="18" t="inlineStr">
        <is>
          <t>confirmar</t>
        </is>
      </c>
      <c r="E21" s="130" t="inlineStr">
        <is>
          <t>CONFERIR</t>
        </is>
      </c>
      <c r="F21" s="106" t="inlineStr">
        <is>
          <t>A ART declara um contrato dessa data. Havia contrato assinado? O pedido Route 66 e de 12/08 com validade ate 15/08</t>
        </is>
      </c>
    </row>
    <row r="23">
      <c r="B23" s="3" t="inlineStr">
        <is>
          <t>3) ALERTA MAIOR - O SISTEMA JA ESTA GERANDO SEM HOMOLOGACAO</t>
        </is>
      </c>
    </row>
    <row r="24">
      <c r="B24" s="4" t="inlineStr">
        <is>
          <t>O app Deye mostra a usina online desde 27/08/2026, mas o parecer de acesso da Enel nao saiu e o Anexo 4 nem foi</t>
        </is>
      </c>
    </row>
    <row r="25">
      <c r="B25" s="4" t="inlineStr">
        <is>
          <t>corrigido. Enquanto o medidor BIDIRECIONAL nao for instalado:</t>
        </is>
      </c>
    </row>
    <row r="26">
      <c r="B26" s="5" t="inlineStr">
        <is>
          <t xml:space="preserve">  - toda energia que sobrar e for para a rede e PERDIDA, nao vira credito;</t>
        </is>
      </c>
    </row>
    <row r="27">
      <c r="B27" s="5" t="inlineStr">
        <is>
          <t xml:space="preserve">  - dependendo do modelo do medidor, a energia exportada pode ser registrada como CONSUMO e cobrada de voce.</t>
        </is>
      </c>
    </row>
    <row r="28">
      <c r="B28" s="4" t="inlineStr"/>
    </row>
    <row r="29">
      <c r="B29" s="5" t="inlineStr">
        <is>
          <t>O QUE FAZER ATE A HOMOLOGACAO SAIR: consumir tudo o que gerar, no proprio dia. Carregar o BYD entre 9h e 15h,</t>
        </is>
      </c>
    </row>
    <row r="30">
      <c r="B30" s="4" t="inlineStr">
        <is>
          <t>concentrar maquina de lavar, ar-condicionado e chuveiro no horario de sol. Energia autoconsumida na hora nao paga</t>
        </is>
      </c>
    </row>
    <row r="31">
      <c r="B31" s="4" t="inlineStr">
        <is>
          <t>nem o Fio B - vale MAIS que credito. E conferir a proxima fatura com lupa.</t>
        </is>
      </c>
    </row>
    <row r="32">
      <c r="B32" s="4" t="inlineStr"/>
    </row>
    <row r="33">
      <c r="B33" s="3" t="inlineStr">
        <is>
          <t>4) SEQUENCIA CORRETA ANTES DE ASSINAR QUALQUER DOCUMENTO</t>
        </is>
      </c>
    </row>
    <row r="34">
      <c r="B34" s="4" t="inlineStr">
        <is>
          <t xml:space="preserve">  1. Corrigir o Anexo 4 para 3 microinversores / 6,75 kW AC e remover o 8,45 kW.</t>
        </is>
      </c>
    </row>
    <row r="35">
      <c r="B35" s="4" t="inlineStr">
        <is>
          <t xml:space="preserve">  2. Corrigir a tensao para 127/220 V se a fatura confirmar.</t>
        </is>
      </c>
    </row>
    <row r="36">
      <c r="B36" s="4" t="inlineStr">
        <is>
          <t xml:space="preserve">  3. Definir POR ESCRITO quem executa e quem paga a adequacao do padrao mono -&gt; bifasico.</t>
        </is>
      </c>
    </row>
    <row r="37">
      <c r="B37" s="4" t="inlineStr">
        <is>
          <t xml:space="preserve">  4. Obter o registro Inmetro do SUN-S225G4-EU-Q0 (modelo exato) e os numeros de serie dos 3 micros.</t>
        </is>
      </c>
    </row>
    <row r="38">
      <c r="B38" s="4" t="inlineStr">
        <is>
          <t xml:space="preserve">  5. So entao assinar Anexo 1, Anexo 4, ART e procuracao.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2" customWidth="1" min="3" max="3"/>
    <col width="12" customWidth="1" min="4" max="4"/>
    <col width="66" customWidth="1" min="5" max="5"/>
  </cols>
  <sheetData>
    <row r="1">
      <c r="A1" s="1" t="inlineStr">
        <is>
          <t>MODULO INSTALADO - ZNSHINE ZXNR-MD132-650</t>
        </is>
      </c>
    </row>
    <row r="2">
      <c r="A2" s="2" t="inlineStr">
        <is>
          <t>Dados do datasheet oficial ZNShine serie ZXNR-BD132 (versao bifacial irma). CONFIRMAR na etiqueta do painel os valores da versao MD (monofacial).</t>
        </is>
      </c>
    </row>
    <row r="5">
      <c r="B5" s="21" t="inlineStr">
        <is>
          <t>EFICIENCIA MAXIMA DO MODULO</t>
        </is>
      </c>
      <c r="C5" s="131" t="n">
        <v>0.2406</v>
      </c>
      <c r="E5" s="80" t="inlineStr">
        <is>
          <t>Topo da faixa 620-650 W. Referencia de mercado: comum 20-21%, bom 22-23%. 24% e linha premium</t>
        </is>
      </c>
    </row>
    <row r="6">
      <c r="B6" s="4" t="inlineStr">
        <is>
          <t>Potencia nominal Pmax</t>
        </is>
      </c>
      <c r="C6" s="11" t="n">
        <v>650</v>
      </c>
      <c r="E6" s="80" t="inlineStr">
        <is>
          <t>W - STC</t>
        </is>
      </c>
    </row>
    <row r="7">
      <c r="B7" s="4" t="inlineStr">
        <is>
          <t>Comprimento</t>
        </is>
      </c>
      <c r="C7" s="11" t="n">
        <v>2382</v>
      </c>
      <c r="E7" s="80" t="inlineStr">
        <is>
          <t>mm</t>
        </is>
      </c>
    </row>
    <row r="8">
      <c r="B8" s="4" t="inlineStr">
        <is>
          <t>Largura</t>
        </is>
      </c>
      <c r="C8" s="11" t="n">
        <v>1134</v>
      </c>
      <c r="E8" s="80" t="inlineStr">
        <is>
          <t>mm</t>
        </is>
      </c>
    </row>
    <row r="9">
      <c r="B9" s="21" t="inlineStr">
        <is>
          <t>AREA DE UM MODULO</t>
        </is>
      </c>
      <c r="C9" s="132">
        <f>C7*C8/1000000</f>
        <v/>
      </c>
      <c r="E9" s="80" t="inlineStr">
        <is>
          <t>m2 - calculado</t>
        </is>
      </c>
    </row>
    <row r="10">
      <c r="B10" s="4" t="inlineStr">
        <is>
          <t>Numero de modulos</t>
        </is>
      </c>
      <c r="C10" s="11" t="n">
        <v>10</v>
      </c>
      <c r="E10" s="80" t="inlineStr">
        <is>
          <t>Confirmado fisicamente em 27/08/2026</t>
        </is>
      </c>
    </row>
    <row r="11">
      <c r="B11" s="21" t="inlineStr">
        <is>
          <t>AREA TOTAL OCUPADA NO TELHADO</t>
        </is>
      </c>
      <c r="C11" s="132">
        <f>C9*C10</f>
        <v/>
      </c>
      <c r="E11" s="80" t="inlineStr">
        <is>
          <t>m2</t>
        </is>
      </c>
    </row>
    <row r="12">
      <c r="B12" s="21" t="inlineStr">
        <is>
          <t>POTENCIA DC DO SISTEMA</t>
        </is>
      </c>
      <c r="C12" s="66">
        <f>C6*C10/1000</f>
        <v/>
      </c>
      <c r="E12" s="80" t="inlineStr">
        <is>
          <t>kWp - bate com a ART, o Anexo 1 e o app Deye</t>
        </is>
      </c>
    </row>
    <row r="13">
      <c r="B13" s="4" t="inlineStr">
        <is>
          <t>Conferencia: area x eficiencia x 1000 W/m2</t>
        </is>
      </c>
      <c r="C13" s="29">
        <f>C11*C5</f>
        <v/>
      </c>
      <c r="E13" s="80" t="inlineStr">
        <is>
          <t>kW a pleno sol - tem que dar igual a linha 12</t>
        </is>
      </c>
    </row>
    <row r="15">
      <c r="B15" s="4" t="inlineStr">
        <is>
          <t>Tensao de maxima potencia Vmp</t>
        </is>
      </c>
      <c r="C15" s="16" t="n">
        <v>42.2</v>
      </c>
      <c r="E15" s="80" t="inlineStr">
        <is>
          <t>V</t>
        </is>
      </c>
    </row>
    <row r="16">
      <c r="B16" s="4" t="inlineStr">
        <is>
          <t>Corrente de maxima potencia Imp</t>
        </is>
      </c>
      <c r="C16" s="16" t="n">
        <v>15.41</v>
      </c>
      <c r="E16" s="80" t="inlineStr">
        <is>
          <t>A</t>
        </is>
      </c>
    </row>
    <row r="17">
      <c r="B17" s="4" t="inlineStr">
        <is>
          <t>Tensao de circuito aberto Voc</t>
        </is>
      </c>
      <c r="C17" s="16" t="n">
        <v>50.1</v>
      </c>
      <c r="E17" s="80" t="inlineStr">
        <is>
          <t>V</t>
        </is>
      </c>
    </row>
    <row r="18">
      <c r="B18" s="4" t="inlineStr">
        <is>
          <t>CORRENTE DE CURTO Isc</t>
        </is>
      </c>
      <c r="C18" s="133" t="n">
        <v>16.34</v>
      </c>
      <c r="E18" s="80" t="inlineStr">
        <is>
          <t>A - CRITICO: tem que ser menor que a corrente maxima por MPPT do microinversor</t>
        </is>
      </c>
    </row>
    <row r="19">
      <c r="B19" s="4" t="inlineStr">
        <is>
          <t>Limite de corrente por MPPT do Deye</t>
        </is>
      </c>
      <c r="C19" s="16" t="n">
        <v>18</v>
      </c>
      <c r="E19" s="80" t="inlineStr">
        <is>
          <t>A - valor da serie M. CONFIRMAR no datasheet da serie S</t>
        </is>
      </c>
    </row>
    <row r="20">
      <c r="B20" s="21" t="inlineStr">
        <is>
          <t>FOLGA DE CORRENTE</t>
        </is>
      </c>
      <c r="C20" s="66">
        <f>C19-C18</f>
        <v/>
      </c>
      <c r="E20" s="80" t="inlineStr">
        <is>
          <t>A - se der negativo, ha corte de corrente e perda de geracao</t>
        </is>
      </c>
    </row>
    <row r="22">
      <c r="B22" s="4" t="inlineStr">
        <is>
          <t>Potencia em NMOT (condicao real)</t>
        </is>
      </c>
      <c r="C22" s="11" t="n">
        <v>494</v>
      </c>
      <c r="E22" s="80" t="inlineStr">
        <is>
          <t>W por modulo - 800 W/m2, 44 graus C, vento 1 m/s</t>
        </is>
      </c>
    </row>
    <row r="23">
      <c r="B23" s="4" t="inlineStr">
        <is>
          <t>Potencia do sistema em NMOT</t>
        </is>
      </c>
      <c r="C23" s="29">
        <f>C22*C10/1000</f>
        <v/>
      </c>
      <c r="E23" s="80" t="inlineStr">
        <is>
          <t>kW - referencia realista para comparar com o app</t>
        </is>
      </c>
    </row>
    <row r="24">
      <c r="B24" s="4" t="inlineStr">
        <is>
          <t>Coeficiente de temperatura de Pmax</t>
        </is>
      </c>
      <c r="C24" s="14" t="n">
        <v>-0.0028</v>
      </c>
      <c r="E24" s="80" t="inlineStr">
        <is>
          <t>por grau C. PERC comum e -0,35%/C - o seu perde menos no calor</t>
        </is>
      </c>
    </row>
    <row r="25">
      <c r="B25" s="4" t="inlineStr">
        <is>
          <t>Perda a 60 graus C de celula</t>
        </is>
      </c>
      <c r="C25" s="30">
        <f>(60-25)*-C24</f>
        <v/>
      </c>
      <c r="E25" s="80" t="inlineStr">
        <is>
          <t>Perda em relacao a STC (25 C)</t>
        </is>
      </c>
    </row>
    <row r="27">
      <c r="B27" s="4" t="inlineStr">
        <is>
          <t>Degradacao anual</t>
        </is>
      </c>
      <c r="C27" s="14" t="n">
        <v>0.004</v>
      </c>
      <c r="E27" s="80" t="inlineStr">
        <is>
          <t>N-type TOPCon. Melhor que PERC (~0,55%/ano)</t>
        </is>
      </c>
    </row>
    <row r="28">
      <c r="B28" s="4" t="inlineStr">
        <is>
          <t>Potencia restante no ano 25</t>
        </is>
      </c>
      <c r="C28" s="30">
        <f>(1-C27)^24</f>
        <v/>
      </c>
      <c r="E28" s="80" t="inlineStr">
        <is>
          <t>Do valor de fabrica</t>
        </is>
      </c>
    </row>
    <row r="30">
      <c r="B30" s="4" t="inlineStr">
        <is>
          <t>Garantia de PRODUTO (datasheet oficial)</t>
        </is>
      </c>
      <c r="C30" s="11" t="n">
        <v>12</v>
      </c>
      <c r="E30" s="80" t="inlineStr">
        <is>
          <t>anos</t>
        </is>
      </c>
    </row>
    <row r="31">
      <c r="B31" s="4" t="inlineStr">
        <is>
          <t>Garantia de PERFORMANCE (datasheet oficial)</t>
        </is>
      </c>
      <c r="C31" s="11" t="n">
        <v>30</v>
      </c>
      <c r="E31" s="80" t="inlineStr">
        <is>
          <t>anos</t>
        </is>
      </c>
    </row>
    <row r="34">
      <c r="B34" s="5" t="inlineStr">
        <is>
          <t>ALERTA DE GARANTIA: o datasheet oficial diz 12 anos de PRODUTO e 30 anos de PERFORMANCE.</t>
        </is>
      </c>
    </row>
    <row r="35">
      <c r="B35" s="4" t="inlineStr">
        <is>
          <t>A proposta do Yuri dizia 12/25 anos e o PEDIDO Route 66 dizia 15 anos. Nenhum dos dois bate com o fabricante.</t>
        </is>
      </c>
    </row>
    <row r="36">
      <c r="B36" s="4" t="inlineStr">
        <is>
          <t>Exigir que a nota fiscal e o termo de garantia digam 12/30 - e o que a ZNShine efetivamente oferece.</t>
        </is>
      </c>
    </row>
    <row r="37">
      <c r="B37" s="4" t="inlineStr"/>
    </row>
    <row r="38">
      <c r="B38" s="3" t="inlineStr">
        <is>
          <t>COMO USAR ESTA ABA: a linha 13 e um teste de sanidade. Area total x eficiencia x 1.000 W/m2 tem que dar a mesma</t>
        </is>
      </c>
    </row>
    <row r="39">
      <c r="B39" s="4" t="inlineStr">
        <is>
          <t>potencia da linha 12. Se a etiqueta do painel trouxer uma eficiencia diferente, altere a celula C5 e as contas se ajustam.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5" customWidth="1" min="3" max="3"/>
    <col width="15" customWidth="1" min="4" max="4"/>
    <col width="15" customWidth="1" min="5" max="5"/>
    <col width="14" customWidth="1" min="6" max="6"/>
    <col width="14" customWidth="1" min="7" max="7"/>
    <col width="52" customWidth="1" min="8" max="8"/>
  </cols>
  <sheetData>
    <row r="1">
      <c r="A1" s="1" t="inlineStr">
        <is>
          <t>GERACAO ESPERADA DO SISTEMA INSTALADO - 6,50 kWp</t>
        </is>
      </c>
    </row>
    <row r="2">
      <c r="A2" s="2" t="inlineStr">
        <is>
          <t>10 modulos ZNShine 650 W + 3 microinversores Deye SUN-S225G4-EU-Q0 (6,75 kW AC). Puxa a irradiacao da aba GERACAO.</t>
        </is>
      </c>
    </row>
    <row r="4">
      <c r="B4" s="21" t="inlineStr">
        <is>
          <t>kWp instalado</t>
        </is>
      </c>
      <c r="C4" s="16" t="n">
        <v>6.5</v>
      </c>
    </row>
    <row r="6" ht="42" customHeight="1">
      <c r="B6" s="17" t="inlineStr">
        <is>
          <t>Mes</t>
        </is>
      </c>
      <c r="C6" s="17" t="inlineStr">
        <is>
          <t>MINIMO (PR 0,72)</t>
        </is>
      </c>
      <c r="D6" s="17" t="inlineStr">
        <is>
          <t>REALISTA (PR 0,79)</t>
        </is>
      </c>
      <c r="E6" s="17" t="inlineStr">
        <is>
          <t>Se fosse NORTE</t>
        </is>
      </c>
      <c r="F6" s="17" t="inlineStr">
        <is>
          <t>kWh/dia realista</t>
        </is>
      </c>
      <c r="G6" s="17" t="inlineStr">
        <is>
          <t>% do melhor mes</t>
        </is>
      </c>
      <c r="H6" s="17" t="inlineStr">
        <is>
          <t>Comentario</t>
        </is>
      </c>
    </row>
    <row r="7">
      <c r="B7" s="18" t="inlineStr">
        <is>
          <t>Jan</t>
        </is>
      </c>
      <c r="C7" s="39">
        <f>GERACAO!F5*GERACAO!C5*ENTRADAS!$C$32*$C$4</f>
        <v/>
      </c>
      <c r="D7" s="134">
        <f>GERACAO!I5*$C$4</f>
        <v/>
      </c>
      <c r="E7" s="39">
        <f>GERACAO!J5*$C$4</f>
        <v/>
      </c>
      <c r="F7" s="19">
        <f>IFERROR(D7/GERACAO!C5,0)</f>
        <v/>
      </c>
      <c r="G7" s="40">
        <f>IFERROR(D7/MAX($D$7:$D$18),0)</f>
        <v/>
      </c>
      <c r="H7" s="116" t="n"/>
    </row>
    <row r="8">
      <c r="B8" s="18" t="inlineStr">
        <is>
          <t>Fev</t>
        </is>
      </c>
      <c r="C8" s="39">
        <f>GERACAO!F6*GERACAO!C6*ENTRADAS!$C$32*$C$4</f>
        <v/>
      </c>
      <c r="D8" s="134">
        <f>GERACAO!I6*$C$4</f>
        <v/>
      </c>
      <c r="E8" s="39">
        <f>GERACAO!J6*$C$4</f>
        <v/>
      </c>
      <c r="F8" s="19">
        <f>IFERROR(D8/GERACAO!C6,0)</f>
        <v/>
      </c>
      <c r="G8" s="40">
        <f>IFERROR(D8/MAX($D$7:$D$18),0)</f>
        <v/>
      </c>
      <c r="H8" s="116" t="n"/>
    </row>
    <row r="9">
      <c r="B9" s="18" t="inlineStr">
        <is>
          <t>Mar</t>
        </is>
      </c>
      <c r="C9" s="39">
        <f>GERACAO!F7*GERACAO!C7*ENTRADAS!$C$32*$C$4</f>
        <v/>
      </c>
      <c r="D9" s="134">
        <f>GERACAO!I7*$C$4</f>
        <v/>
      </c>
      <c r="E9" s="39">
        <f>GERACAO!J7*$C$4</f>
        <v/>
      </c>
      <c r="F9" s="19">
        <f>IFERROR(D9/GERACAO!C7,0)</f>
        <v/>
      </c>
      <c r="G9" s="40">
        <f>IFERROR(D9/MAX($D$7:$D$18),0)</f>
        <v/>
      </c>
      <c r="H9" s="116" t="n"/>
    </row>
    <row r="10">
      <c r="B10" s="18" t="inlineStr">
        <is>
          <t>Abr</t>
        </is>
      </c>
      <c r="C10" s="39">
        <f>GERACAO!F8*GERACAO!C8*ENTRADAS!$C$32*$C$4</f>
        <v/>
      </c>
      <c r="D10" s="134">
        <f>GERACAO!I8*$C$4</f>
        <v/>
      </c>
      <c r="E10" s="39">
        <f>GERACAO!J8*$C$4</f>
        <v/>
      </c>
      <c r="F10" s="19">
        <f>IFERROR(D10/GERACAO!C8,0)</f>
        <v/>
      </c>
      <c r="G10" s="40">
        <f>IFERROR(D10/MAX($D$7:$D$18),0)</f>
        <v/>
      </c>
      <c r="H10" s="116" t="n"/>
    </row>
    <row r="11">
      <c r="B11" s="18" t="inlineStr">
        <is>
          <t>Mai</t>
        </is>
      </c>
      <c r="C11" s="39">
        <f>GERACAO!F9*GERACAO!C9*ENTRADAS!$C$32*$C$4</f>
        <v/>
      </c>
      <c r="D11" s="134">
        <f>GERACAO!I9*$C$4</f>
        <v/>
      </c>
      <c r="E11" s="39">
        <f>GERACAO!J9*$C$4</f>
        <v/>
      </c>
      <c r="F11" s="19">
        <f>IFERROR(D11/GERACAO!C9,0)</f>
        <v/>
      </c>
      <c r="G11" s="40">
        <f>IFERROR(D11/MAX($D$7:$D$18),0)</f>
        <v/>
      </c>
      <c r="H11" s="116" t="n"/>
    </row>
    <row r="12">
      <c r="B12" s="18" t="inlineStr">
        <is>
          <t>Jun</t>
        </is>
      </c>
      <c r="C12" s="39">
        <f>GERACAO!F10*GERACAO!C10*ENTRADAS!$C$32*$C$4</f>
        <v/>
      </c>
      <c r="D12" s="134">
        <f>GERACAO!I10*$C$4</f>
        <v/>
      </c>
      <c r="E12" s="39">
        <f>GERACAO!J10*$C$4</f>
        <v/>
      </c>
      <c r="F12" s="19">
        <f>IFERROR(D12/GERACAO!C10,0)</f>
        <v/>
      </c>
      <c r="G12" s="40">
        <f>IFERROR(D12/MAX($D$7:$D$18),0)</f>
        <v/>
      </c>
      <c r="H12" s="116" t="n"/>
    </row>
    <row r="13">
      <c r="B13" s="18" t="inlineStr">
        <is>
          <t>Jul</t>
        </is>
      </c>
      <c r="C13" s="39">
        <f>GERACAO!F11*GERACAO!C11*ENTRADAS!$C$32*$C$4</f>
        <v/>
      </c>
      <c r="D13" s="134">
        <f>GERACAO!I11*$C$4</f>
        <v/>
      </c>
      <c r="E13" s="39">
        <f>GERACAO!J11*$C$4</f>
        <v/>
      </c>
      <c r="F13" s="19">
        <f>IFERROR(D13/GERACAO!C11,0)</f>
        <v/>
      </c>
      <c r="G13" s="40">
        <f>IFERROR(D13/MAX($D$7:$D$18),0)</f>
        <v/>
      </c>
      <c r="H13" s="116" t="n"/>
    </row>
    <row r="14">
      <c r="B14" s="18" t="inlineStr">
        <is>
          <t>Ago</t>
        </is>
      </c>
      <c r="C14" s="39">
        <f>GERACAO!F12*GERACAO!C12*ENTRADAS!$C$32*$C$4</f>
        <v/>
      </c>
      <c r="D14" s="134">
        <f>GERACAO!I12*$C$4</f>
        <v/>
      </c>
      <c r="E14" s="39">
        <f>GERACAO!J12*$C$4</f>
        <v/>
      </c>
      <c r="F14" s="19">
        <f>IFERROR(D14/GERACAO!C12,0)</f>
        <v/>
      </c>
      <c r="G14" s="40">
        <f>IFERROR(D14/MAX($D$7:$D$18),0)</f>
        <v/>
      </c>
      <c r="H14" s="116" t="n"/>
    </row>
    <row r="15">
      <c r="B15" s="18" t="inlineStr">
        <is>
          <t>Set</t>
        </is>
      </c>
      <c r="C15" s="39">
        <f>GERACAO!F13*GERACAO!C13*ENTRADAS!$C$32*$C$4</f>
        <v/>
      </c>
      <c r="D15" s="134">
        <f>GERACAO!I13*$C$4</f>
        <v/>
      </c>
      <c r="E15" s="39">
        <f>GERACAO!J13*$C$4</f>
        <v/>
      </c>
      <c r="F15" s="19">
        <f>IFERROR(D15/GERACAO!C13,0)</f>
        <v/>
      </c>
      <c r="G15" s="40">
        <f>IFERROR(D15/MAX($D$7:$D$18),0)</f>
        <v/>
      </c>
      <c r="H15" s="116" t="n"/>
    </row>
    <row r="16">
      <c r="B16" s="18" t="inlineStr">
        <is>
          <t>Out</t>
        </is>
      </c>
      <c r="C16" s="39">
        <f>GERACAO!F14*GERACAO!C14*ENTRADAS!$C$32*$C$4</f>
        <v/>
      </c>
      <c r="D16" s="134">
        <f>GERACAO!I14*$C$4</f>
        <v/>
      </c>
      <c r="E16" s="39">
        <f>GERACAO!J14*$C$4</f>
        <v/>
      </c>
      <c r="F16" s="19">
        <f>IFERROR(D16/GERACAO!C14,0)</f>
        <v/>
      </c>
      <c r="G16" s="40">
        <f>IFERROR(D16/MAX($D$7:$D$18),0)</f>
        <v/>
      </c>
      <c r="H16" s="116" t="n"/>
    </row>
    <row r="17">
      <c r="B17" s="18" t="inlineStr">
        <is>
          <t>Nov</t>
        </is>
      </c>
      <c r="C17" s="39">
        <f>GERACAO!F15*GERACAO!C15*ENTRADAS!$C$32*$C$4</f>
        <v/>
      </c>
      <c r="D17" s="134">
        <f>GERACAO!I15*$C$4</f>
        <v/>
      </c>
      <c r="E17" s="39">
        <f>GERACAO!J15*$C$4</f>
        <v/>
      </c>
      <c r="F17" s="19">
        <f>IFERROR(D17/GERACAO!C15,0)</f>
        <v/>
      </c>
      <c r="G17" s="40">
        <f>IFERROR(D17/MAX($D$7:$D$18),0)</f>
        <v/>
      </c>
      <c r="H17" s="116" t="n"/>
    </row>
    <row r="18">
      <c r="B18" s="18" t="inlineStr">
        <is>
          <t>Dez</t>
        </is>
      </c>
      <c r="C18" s="39">
        <f>GERACAO!F16*GERACAO!C16*ENTRADAS!$C$32*$C$4</f>
        <v/>
      </c>
      <c r="D18" s="134">
        <f>GERACAO!I16*$C$4</f>
        <v/>
      </c>
      <c r="E18" s="39">
        <f>GERACAO!J16*$C$4</f>
        <v/>
      </c>
      <c r="F18" s="19">
        <f>IFERROR(D18/GERACAO!C16,0)</f>
        <v/>
      </c>
      <c r="G18" s="40">
        <f>IFERROR(D18/MAX($D$7:$D$18),0)</f>
        <v/>
      </c>
      <c r="H18" s="116" t="n"/>
    </row>
    <row r="19">
      <c r="B19" s="21" t="inlineStr">
        <is>
          <t>ANO</t>
        </is>
      </c>
      <c r="C19" s="34">
        <f>SUM(C7:C18)</f>
        <v/>
      </c>
      <c r="D19" s="34">
        <f>SUM(D7:D18)</f>
        <v/>
      </c>
      <c r="E19" s="34">
        <f>SUM(E7:E18)</f>
        <v/>
      </c>
    </row>
    <row r="20">
      <c r="B20" s="21" t="inlineStr">
        <is>
          <t>MEDIA MES</t>
        </is>
      </c>
      <c r="C20" s="26">
        <f>C19/12</f>
        <v/>
      </c>
      <c r="D20" s="38">
        <f>D19/12</f>
        <v/>
      </c>
      <c r="E20" s="26">
        <f>E19/12</f>
        <v/>
      </c>
    </row>
    <row r="21">
      <c r="B21" s="21" t="inlineStr">
        <is>
          <t>PIOR MES</t>
        </is>
      </c>
      <c r="D21" s="135">
        <f>MIN(D7:D18)</f>
        <v/>
      </c>
    </row>
    <row r="22">
      <c r="B22" s="21" t="inlineStr">
        <is>
          <t>MELHOR MES</t>
        </is>
      </c>
      <c r="D22" s="38">
        <f>MAX(D7:D18)</f>
        <v/>
      </c>
    </row>
    <row r="23">
      <c r="B23" s="4" t="inlineStr">
        <is>
          <t>Amplitude melhor / pior</t>
        </is>
      </c>
      <c r="D23" s="30">
        <f>IFERROR(D22/D21-1,0)</f>
        <v/>
      </c>
    </row>
    <row r="24">
      <c r="B24" s="21" t="inlineStr">
        <is>
          <t>Geracao no ANO 1 (com 2% de degradacao)</t>
        </is>
      </c>
      <c r="D24" s="26">
        <f>D19*(1-ENTRADAS!C33)</f>
        <v/>
      </c>
    </row>
    <row r="26">
      <c r="B26" s="7" t="inlineStr">
        <is>
          <t>COBERTURA POR CENARIO DE CONSUMO</t>
        </is>
      </c>
      <c r="C26" s="8" t="n"/>
      <c r="D26" s="8" t="n"/>
      <c r="E26" s="8" t="n"/>
      <c r="F26" s="8" t="n"/>
      <c r="G26" s="8" t="n"/>
      <c r="H26" s="8" t="n"/>
    </row>
    <row r="27">
      <c r="B27" s="17" t="inlineStr">
        <is>
          <t>Cenario</t>
        </is>
      </c>
      <c r="C27" s="17" t="inlineStr">
        <is>
          <t>kWh/mes</t>
        </is>
      </c>
      <c r="D27" s="17" t="inlineStr">
        <is>
          <t>Cobertura 10 mod</t>
        </is>
      </c>
      <c r="E27" s="17" t="inlineStr">
        <is>
          <t>Cobertura 12 mod</t>
        </is>
      </c>
      <c r="F27" s="17" t="inlineStr">
        <is>
          <t>Saldo/mes 10 mod</t>
        </is>
      </c>
      <c r="G27" s="17" t="inlineStr">
        <is>
          <t>Veredito</t>
        </is>
      </c>
    </row>
    <row r="28">
      <c r="B28" s="18" t="inlineStr">
        <is>
          <t>Casa estavel, antes de maio</t>
        </is>
      </c>
      <c r="C28" s="39">
        <f>MEDIAS!C6</f>
        <v/>
      </c>
      <c r="D28" s="136">
        <f>IFERROR($D$20/C28,0)</f>
        <v/>
      </c>
      <c r="E28" s="40">
        <f>IFERROR($D$20*1.2/C28,0)</f>
        <v/>
      </c>
      <c r="F28" s="39">
        <f>$D$20-C28</f>
        <v/>
      </c>
      <c r="G28" s="51">
        <f>IF(D28&gt;=1,"COBRE","FALTA "&amp;TEXT(1-D28,"0.0%"))</f>
        <v/>
      </c>
    </row>
    <row r="29">
      <c r="B29" s="18" t="inlineStr">
        <is>
          <t>Casa HOJE (com o degrau, sem carro)</t>
        </is>
      </c>
      <c r="C29" s="39">
        <f>MEDIAS!C7</f>
        <v/>
      </c>
      <c r="D29" s="136">
        <f>IFERROR($D$20/C29,0)</f>
        <v/>
      </c>
      <c r="E29" s="40">
        <f>IFERROR($D$20*1.2/C29,0)</f>
        <v/>
      </c>
      <c r="F29" s="39">
        <f>$D$20-C29</f>
        <v/>
      </c>
      <c r="G29" s="51">
        <f>IF(D29&gt;=1,"COBRE","FALTA "&amp;TEXT(1-D29,"0.0%"))</f>
        <v/>
      </c>
    </row>
    <row r="30">
      <c r="B30" s="18" t="inlineStr">
        <is>
          <t>Casa + carro, mes sem viagem</t>
        </is>
      </c>
      <c r="C30" s="39">
        <f>MEDIAS!C8</f>
        <v/>
      </c>
      <c r="D30" s="136">
        <f>IFERROR($D$20/C30,0)</f>
        <v/>
      </c>
      <c r="E30" s="40">
        <f>IFERROR($D$20*1.2/C30,0)</f>
        <v/>
      </c>
      <c r="F30" s="39">
        <f>$D$20-C30</f>
        <v/>
      </c>
      <c r="G30" s="51">
        <f>IF(D30&gt;=1,"COBRE","FALTA "&amp;TEXT(1-D30,"0.0%"))</f>
        <v/>
      </c>
    </row>
    <row r="31">
      <c r="B31" s="18" t="inlineStr">
        <is>
          <t>Casa + carro, ritmo observado</t>
        </is>
      </c>
      <c r="C31" s="39">
        <f>MEDIAS!C9</f>
        <v/>
      </c>
      <c r="D31" s="136">
        <f>IFERROR($D$20/C31,0)</f>
        <v/>
      </c>
      <c r="E31" s="40">
        <f>IFERROR($D$20*1.2/C31,0)</f>
        <v/>
      </c>
      <c r="F31" s="39">
        <f>$D$20-C31</f>
        <v/>
      </c>
      <c r="G31" s="51">
        <f>IF(D31&gt;=1,"COBRE","FALTA "&amp;TEXT(1-D31,"0.0%"))</f>
        <v/>
      </c>
    </row>
    <row r="32">
      <c r="B32" s="51" t="inlineStr">
        <is>
          <t>Casa + carro 100% ELETRICO (objetivo)</t>
        </is>
      </c>
      <c r="C32" s="63">
        <f>MEDIAS!C10</f>
        <v/>
      </c>
      <c r="D32" s="136">
        <f>IFERROR($D$20/C32,0)</f>
        <v/>
      </c>
      <c r="E32" s="40">
        <f>IFERROR($D$20*1.2/C32,0)</f>
        <v/>
      </c>
      <c r="F32" s="39">
        <f>$D$20-C32</f>
        <v/>
      </c>
      <c r="G32" s="51">
        <f>IF(D32&gt;=1,"COBRE","FALTA "&amp;TEXT(1-D32,"0.0%"))</f>
        <v/>
      </c>
    </row>
    <row r="35">
      <c r="B35" s="5" t="inlineStr">
        <is>
          <t>LEITURA: os 10 modulos cobrem a casa e cobrem o carro no ritmo de hoje. NAO cobrem o objetivo declarado</t>
        </is>
      </c>
    </row>
    <row r="36">
      <c r="B36" s="4" t="inlineStr">
        <is>
          <t>de rodar tudo no eletrico - ali faltam cerca de 12%, e voce volta a pagar conta de luz todo mes, para sempre.</t>
        </is>
      </c>
    </row>
    <row r="37">
      <c r="B37" s="4" t="inlineStr">
        <is>
          <t>Com 12 modulos (7,80 kWp) o objetivo fecha. Ver a aba EXPANSAO_12.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6" customWidth="1" min="8" max="8"/>
  </cols>
  <sheetData>
    <row r="1">
      <c r="A1" s="1" t="inlineStr">
        <is>
          <t>SUA MEDIA DE CONSUMO - DE ONDE VEIO E ONDE VAI PARAR</t>
        </is>
      </c>
    </row>
    <row r="2">
      <c r="A2" s="2" t="inlineStr">
        <is>
          <t>Base: 13 meses da fatura Enel + odometro do BYD em 26/08/2026 (1.773 km, AEC 7,6 kWh/100km + 2,9 L/100km, carro retirado em 06/08/2026).</t>
        </is>
      </c>
    </row>
    <row r="4">
      <c r="B4" s="21" t="inlineStr">
        <is>
          <t>Media dos 12 meses da fatura (Ago/25 a Jul/26)</t>
        </is>
      </c>
      <c r="C4" s="38">
        <f>CONTA!C23</f>
        <v/>
      </c>
      <c r="E4" s="119">
        <f>C4*ENTRADAS!C18+ENTRADAS!C26</f>
        <v/>
      </c>
    </row>
    <row r="5" ht="30" customHeight="1">
      <c r="B5" s="17" t="inlineStr">
        <is>
          <t>Cenario</t>
        </is>
      </c>
      <c r="C5" s="17" t="inlineStr">
        <is>
          <t>kWh/mes</t>
        </is>
      </c>
      <c r="D5" s="17" t="inlineStr">
        <is>
          <t>Conta VERDE</t>
        </is>
      </c>
      <c r="E5" s="17" t="inlineStr">
        <is>
          <t>Conta AMARELA</t>
        </is>
      </c>
      <c r="F5" s="17" t="inlineStr">
        <is>
          <t>R$/ano</t>
        </is>
      </c>
      <c r="G5" s="17" t="inlineStr">
        <is>
          <t>vs media 12m</t>
        </is>
      </c>
      <c r="H5" s="17" t="inlineStr">
        <is>
          <t>Comentario</t>
        </is>
      </c>
    </row>
    <row r="6">
      <c r="B6" s="18" t="inlineStr">
        <is>
          <t>1 - Casa estavel (Jul/25 a Abr/26)</t>
        </is>
      </c>
      <c r="C6" s="134">
        <f>CONTA!C77*30.4</f>
        <v/>
      </c>
      <c r="D6" s="111">
        <f>C6*(ENTRADAS!$C$18-ENTRADAS!$C$21)+ENTRADAS!$C$26</f>
        <v/>
      </c>
      <c r="E6" s="137">
        <f>C6*ENTRADAS!$C$18+ENTRADAS!$C$26</f>
        <v/>
      </c>
      <c r="F6" s="123">
        <f>E6*12</f>
        <v/>
      </c>
      <c r="G6" s="39">
        <f>C6-CONTA!$C$23</f>
        <v/>
      </c>
      <c r="H6" s="106" t="inlineStr">
        <is>
          <t>10 meses com o diario entre 10,0 e 12,3 kWh. E a sua casa 'limpa', sem o degrau e sem o carro</t>
        </is>
      </c>
    </row>
    <row r="7">
      <c r="B7" s="18" t="inlineStr">
        <is>
          <t>2 - Casa HOJE (Mai a Jul/26, com o degrau)</t>
        </is>
      </c>
      <c r="C7" s="48">
        <f>CONTA!C78*30.4</f>
        <v/>
      </c>
      <c r="D7" s="111">
        <f>C7*(ENTRADAS!$C$18-ENTRADAS!$C$21)+ENTRADAS!$C$26</f>
        <v/>
      </c>
      <c r="E7" s="137">
        <f>C7*ENTRADAS!$C$18+ENTRADAS!$C$26</f>
        <v/>
      </c>
      <c r="F7" s="123">
        <f>E7*12</f>
        <v/>
      </c>
      <c r="G7" s="39">
        <f>C7-CONTA!$C$23</f>
        <v/>
      </c>
      <c r="H7" s="106" t="inlineStr">
        <is>
          <t>DEGRAU de 3,8 kWh/dia apareceu em maio/2026. NAO e o carro - ele so chegou em 06/08. Ha carga nova na casa</t>
        </is>
      </c>
    </row>
    <row r="8">
      <c r="B8" s="18" t="inlineStr">
        <is>
          <t>3 - Casa + carro, mes SEM viagem</t>
        </is>
      </c>
      <c r="C8" s="134">
        <f>C7+C13*30.4</f>
        <v/>
      </c>
      <c r="D8" s="111">
        <f>C8*(ENTRADAS!$C$18-ENTRADAS!$C$21)+ENTRADAS!$C$26</f>
        <v/>
      </c>
      <c r="E8" s="137">
        <f>C8*ENTRADAS!$C$18+ENTRADAS!$C$26</f>
        <v/>
      </c>
      <c r="F8" s="123">
        <f>E8*12</f>
        <v/>
      </c>
      <c r="G8" s="39">
        <f>C8-CONTA!$C$23</f>
        <v/>
      </c>
      <c r="H8" s="106" t="inlineStr">
        <is>
          <t>Rodagem util de 62,6 km/dia (1.773 km menos as duas viagens de 320 e 200 km), no habito de carga atual</t>
        </is>
      </c>
    </row>
    <row r="9">
      <c r="B9" s="18" t="inlineStr">
        <is>
          <t>4 - Casa + carro, ritmo observado</t>
        </is>
      </c>
      <c r="C9" s="134">
        <f>C7+C12*30.4</f>
        <v/>
      </c>
      <c r="D9" s="111">
        <f>C9*(ENTRADAS!$C$18-ENTRADAS!$C$21)+ENTRADAS!$C$26</f>
        <v/>
      </c>
      <c r="E9" s="137">
        <f>C9*ENTRADAS!$C$18+ENTRADAS!$C$26</f>
        <v/>
      </c>
      <c r="F9" s="123">
        <f>E9*12</f>
        <v/>
      </c>
      <c r="G9" s="39">
        <f>C9-CONTA!$C$23</f>
        <v/>
      </c>
      <c r="H9" s="106" t="inlineStr">
        <is>
          <t>O que realmente saiu da tomada nos primeiros 20 dias, viagens incluidas</t>
        </is>
      </c>
    </row>
    <row r="10">
      <c r="B10" s="51" t="inlineStr">
        <is>
          <t>5 - Casa + carro 100% ELETRICO</t>
        </is>
      </c>
      <c r="C10" s="138">
        <f>C7+C14*30.4</f>
        <v/>
      </c>
      <c r="D10" s="111">
        <f>C10*(ENTRADAS!$C$18-ENTRADAS!$C$21)+ENTRADAS!$C$26</f>
        <v/>
      </c>
      <c r="E10" s="137">
        <f>C10*ENTRADAS!$C$18+ENTRADAS!$C$26</f>
        <v/>
      </c>
      <c r="F10" s="123">
        <f>E10*12</f>
        <v/>
      </c>
      <c r="G10" s="39">
        <f>C10-CONTA!$C$23</f>
        <v/>
      </c>
      <c r="H10" s="106" t="inlineStr">
        <is>
          <t>OBJETIVO DECLARADO: rodar tudo no eletrico, 62,6 km/dia a 14,2 kWh/100km</t>
        </is>
      </c>
    </row>
    <row r="11">
      <c r="B11" s="7" t="inlineStr">
        <is>
          <t>DADOS DO BYD MEDIDOS NO ODOMETRO (nao sao estimativa)</t>
        </is>
      </c>
      <c r="C11" s="8" t="n"/>
      <c r="D11" s="8" t="n"/>
      <c r="E11" s="8" t="n"/>
      <c r="F11" s="8" t="n"/>
      <c r="G11" s="8" t="n"/>
      <c r="H11" s="8" t="n"/>
    </row>
    <row r="12">
      <c r="B12" s="4" t="inlineStr">
        <is>
          <t>Energia da tomada por dia - ritmo observado</t>
        </is>
      </c>
      <c r="C12" s="29">
        <f>C20/C18</f>
        <v/>
      </c>
      <c r="D12" s="2" t="inlineStr">
        <is>
          <t>kWh/dia</t>
        </is>
      </c>
      <c r="H12" s="80" t="inlineStr">
        <is>
          <t>1.773 km x 7,6 kWh/100km / 86% de eficiencia, dividido pelos 20 dias de uso</t>
        </is>
      </c>
    </row>
    <row r="13">
      <c r="B13" s="4" t="inlineStr">
        <is>
          <t>Energia da tomada por dia - mes sem viagem</t>
        </is>
      </c>
      <c r="C13" s="29">
        <f>C22*C21/100/ENTRADAS!C45</f>
        <v/>
      </c>
      <c r="D13" s="2" t="inlineStr">
        <is>
          <t>kWh/dia</t>
        </is>
      </c>
      <c r="H13" s="80" t="inlineStr">
        <is>
          <t>So a rodagem util, no consumo cumulativo do painel</t>
        </is>
      </c>
    </row>
    <row r="14">
      <c r="B14" s="4" t="inlineStr">
        <is>
          <t>Energia da tomada por dia - 100% eletrico</t>
        </is>
      </c>
      <c r="C14" s="29">
        <f>C22*C19/100/ENTRADAS!C45</f>
        <v/>
      </c>
      <c r="D14" s="2" t="inlineStr">
        <is>
          <t>kWh/dia</t>
        </is>
      </c>
      <c r="H14" s="80" t="inlineStr">
        <is>
          <t>Rodagem util ao consumo REAL de 14,2 kWh/100km medido nos ultimos 50 km</t>
        </is>
      </c>
    </row>
    <row r="16">
      <c r="B16" s="4" t="inlineStr">
        <is>
          <t>Odometro em 26/08/2026</t>
        </is>
      </c>
      <c r="C16" s="11" t="n">
        <v>1773</v>
      </c>
      <c r="D16" s="2" t="inlineStr">
        <is>
          <t>km</t>
        </is>
      </c>
      <c r="H16" s="80" t="inlineStr">
        <is>
          <t>Print do app do carro</t>
        </is>
      </c>
    </row>
    <row r="17">
      <c r="B17" s="4" t="inlineStr">
        <is>
          <t>Viagens longas (320 + 200 km)</t>
        </is>
      </c>
      <c r="C17" s="11" t="n">
        <v>520</v>
      </c>
      <c r="D17" s="2" t="inlineStr">
        <is>
          <t>km</t>
        </is>
      </c>
      <c r="H17" s="80" t="inlineStr">
        <is>
          <t>Rodaram em modo HIBRIDO - nao pesam na conta de luz</t>
        </is>
      </c>
    </row>
    <row r="18">
      <c r="B18" s="4" t="inlineStr">
        <is>
          <t>Dias com o carro (06/08 a 26/08)</t>
        </is>
      </c>
      <c r="C18" s="11" t="n">
        <v>20</v>
      </c>
      <c r="D18" s="2" t="inlineStr">
        <is>
          <t>dias</t>
        </is>
      </c>
      <c r="H18" s="80" t="inlineStr">
        <is>
          <t>Carro retirado 0 km em 06/08/2026</t>
        </is>
      </c>
    </row>
    <row r="19">
      <c r="B19" s="4" t="inlineStr">
        <is>
          <t>Consumo eletrico REAL - ultimos 50 km</t>
        </is>
      </c>
      <c r="C19" s="16" t="n">
        <v>14.2</v>
      </c>
      <c r="D19" s="2" t="inlineStr">
        <is>
          <t>kWh/100km</t>
        </is>
      </c>
      <c r="H19" s="80" t="inlineStr">
        <is>
          <t>MEDIDO no app. A planilha assumia 16,0 - o carro e 11% mais eficiente que o previsto</t>
        </is>
      </c>
    </row>
    <row r="20">
      <c r="B20" s="4" t="inlineStr">
        <is>
          <t>ENERGIA TOTAL DA TOMADA DESDE 0 km</t>
        </is>
      </c>
      <c r="C20" s="139">
        <f>C16*C21/100/ENTRADAS!C45</f>
        <v/>
      </c>
      <c r="D20" s="2" t="inlineStr">
        <is>
          <t>kWh</t>
        </is>
      </c>
      <c r="H20" s="80" t="inlineStr">
        <is>
          <t>TETO: num DM-i parte da carga da bateria pode vir do motor, nao da tomada</t>
        </is>
      </c>
    </row>
    <row r="21">
      <c r="B21" s="4" t="inlineStr">
        <is>
          <t>AEC cumulativo eletrico</t>
        </is>
      </c>
      <c r="C21" s="16" t="n">
        <v>7.6</v>
      </c>
      <c r="D21" s="2" t="inlineStr">
        <is>
          <t>kWh/100km</t>
        </is>
      </c>
      <c r="H21" s="80" t="inlineStr">
        <is>
          <t>Media de toda a vida do carro, do app</t>
        </is>
      </c>
    </row>
    <row r="22">
      <c r="B22" s="4" t="inlineStr">
        <is>
          <t>Rodagem util por dia (sem as viagens)</t>
        </is>
      </c>
      <c r="C22" s="29">
        <f>(C16-C17)/C18</f>
        <v/>
      </c>
      <c r="D22" s="2" t="inlineStr">
        <is>
          <t>km/dia</t>
        </is>
      </c>
      <c r="H22" s="80" t="inlineStr">
        <is>
          <t>Abaixo dos 80 km/dia que a planilha assumia</t>
        </is>
      </c>
    </row>
    <row r="23">
      <c r="B23" s="4" t="inlineStr">
        <is>
          <t>Custo do carro na conta de luz ate hoje</t>
        </is>
      </c>
      <c r="C23" s="15">
        <f>C20*ENTRADAS!C18</f>
        <v/>
      </c>
      <c r="D23" s="2" t="inlineStr">
        <is>
          <t>R$</t>
        </is>
      </c>
      <c r="H23" s="80" t="inlineStr"/>
    </row>
    <row r="24">
      <c r="B24" s="4" t="inlineStr">
        <is>
          <t>Gasolina queimada desde 0 km</t>
        </is>
      </c>
      <c r="C24" s="29">
        <f>C16*2.9/100</f>
        <v/>
      </c>
      <c r="D24" s="2" t="inlineStr">
        <is>
          <t>L</t>
        </is>
      </c>
      <c r="H24" s="80" t="inlineStr">
        <is>
          <t>AEC cumulativo de 2,9 L/100km - 63% foi nas duas viagens</t>
        </is>
      </c>
    </row>
    <row r="27">
      <c r="B27" s="5" t="inlineStr">
        <is>
          <t>O DEGRAU DE MAIO NAO E O CARRO - E O ACHADO QUE MAIS VALE DINHEIRO NESTA PLANILHA</t>
        </is>
      </c>
    </row>
    <row r="28">
      <c r="B28" s="4" t="inlineStr">
        <is>
          <t>O carro foi retirado 0 km em 06/08/2026 e consumiu 157 kWh da tomada em TODA a vida dele.</t>
        </is>
      </c>
    </row>
    <row r="29">
      <c r="B29" s="4" t="inlineStr">
        <is>
          <t>O degrau da conta comecou em MAIO e ja acumulou cerca de 351 kWh entre maio e julho - mais que o dobro.</t>
        </is>
      </c>
    </row>
    <row r="30">
      <c r="B30" s="4" t="inlineStr">
        <is>
          <t>Ou seja: ha uma carga nova ligada na sua casa desde maio, consumindo cerca de 117 kWh/mes = R$ 118/mes = R$ 1.416/ano.</t>
        </is>
      </c>
    </row>
    <row r="31">
      <c r="B31" s="5" t="inlineStr">
        <is>
          <t>COMO ACHAR: com tudo desligado, veja se o medidor ainda gira. Depois va religando circuito por circuito.</t>
        </is>
      </c>
    </row>
    <row r="32">
      <c r="B32" s="4" t="inlineStr">
        <is>
          <t>Suspeitos tipicos: chuveiro trocado, ar-condicionado, freezer velho, bomba d'agua, aquecedor, mais um morador.</t>
        </is>
      </c>
    </row>
    <row r="33">
      <c r="B33" s="4" t="inlineStr"/>
    </row>
    <row r="34">
      <c r="B34" s="5" t="inlineStr">
        <is>
          <t>DUAS PREMISSAS DA PLANILHA FORAM CORRIGIDAS PELO MUNDO REAL:</t>
        </is>
      </c>
    </row>
    <row r="35">
      <c r="B35" s="4" t="inlineStr">
        <is>
          <t xml:space="preserve">  - consumo do carro: assumido 16,0 kWh/100km, MEDIDO 14,2 (11% melhor);</t>
        </is>
      </c>
    </row>
    <row r="36">
      <c r="B36" s="4" t="inlineStr">
        <is>
          <t xml:space="preserve">  - rodagem diaria: assumida 80 km/dia, MEDIDA 62,6 km/dia uteis (as viagens longas rodam no hibrido).</t>
        </is>
      </c>
    </row>
    <row r="37">
      <c r="B37" s="4" t="inlineStr">
        <is>
          <t>As duas quase se anulam na demanda diaria: 12,80 kWh/dia previstos contra 12,59 kWh/dia reais.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2" customWidth="1" min="4" max="4"/>
    <col width="66" customWidth="1" min="5" max="5"/>
  </cols>
  <sheetData>
    <row r="1">
      <c r="A1" s="1" t="inlineStr">
        <is>
          <t>EXPANSAO PARA 12 MODULOS - A MELHOR CONTA DO PROJETO</t>
        </is>
      </c>
    </row>
    <row r="2">
      <c r="A2" s="2" t="inlineStr">
        <is>
          <t>Os 3 microinversores tem 4 MPPTs cada = 12 canais. Com 10 modulos sobram 2 canais livres, e a estrutura comprada (3 kits x 4 placas) ja comporta 12.</t>
        </is>
      </c>
    </row>
    <row r="5">
      <c r="B5" s="4" t="inlineStr">
        <is>
          <t>Canais de MPPT disponiveis (3 micros x 4)</t>
        </is>
      </c>
      <c r="C5" s="11" t="n">
        <v>12</v>
      </c>
      <c r="D5" s="2" t="inlineStr">
        <is>
          <t>canais</t>
        </is>
      </c>
      <c r="E5" s="80" t="inlineStr">
        <is>
          <t>Cada canal aceita um modulo, com rastreamento independente</t>
        </is>
      </c>
    </row>
    <row r="6">
      <c r="B6" s="4" t="inlineStr">
        <is>
          <t>Modulos instalados hoje</t>
        </is>
      </c>
      <c r="C6" s="11" t="n">
        <v>10</v>
      </c>
      <c r="D6" s="2" t="inlineStr">
        <is>
          <t>modulos</t>
        </is>
      </c>
      <c r="E6" s="80" t="inlineStr">
        <is>
          <t>Confirmados fisicamente</t>
        </is>
      </c>
    </row>
    <row r="7">
      <c r="B7" s="21" t="inlineStr">
        <is>
          <t>CANAIS LIVRES</t>
        </is>
      </c>
      <c r="C7" s="38">
        <f>C5-C6</f>
        <v/>
      </c>
      <c r="D7" s="2" t="inlineStr">
        <is>
          <t>canais</t>
        </is>
      </c>
      <c r="E7" s="80" t="inlineStr">
        <is>
          <t>E o limite REAL de expansao em microinversor - nao a potencia</t>
        </is>
      </c>
    </row>
    <row r="8">
      <c r="B8" s="4" t="inlineStr">
        <is>
          <t>Lugares na estrutura ja comprada (3 kits x 4)</t>
        </is>
      </c>
      <c r="C8" s="11" t="n">
        <v>12</v>
      </c>
      <c r="D8" s="2" t="inlineStr">
        <is>
          <t>lugares</t>
        </is>
      </c>
      <c r="E8" s="80" t="inlineStr">
        <is>
          <t>HS-KIT4P-CER: 3 kits para 4 placas cada</t>
        </is>
      </c>
    </row>
    <row r="9">
      <c r="B9" s="4" t="inlineStr">
        <is>
          <t>Perfis de aluminio comprados</t>
        </is>
      </c>
      <c r="C9" s="11" t="n">
        <v>24</v>
      </c>
      <c r="D9" s="2" t="inlineStr">
        <is>
          <t>metros</t>
        </is>
      </c>
      <c r="E9" s="80" t="inlineStr">
        <is>
          <t>5 pares de 2,4 m. Adequado para 10 modulos SEM FOLGA - pode faltar para 12</t>
        </is>
      </c>
    </row>
    <row r="11">
      <c r="B11" s="4" t="inlineStr">
        <is>
          <t>Potencia DC com 12 modulos</t>
        </is>
      </c>
      <c r="C11" s="29">
        <f>(C6+C7)*MODULO!C6/1000</f>
        <v/>
      </c>
      <c r="D11" s="2" t="inlineStr">
        <is>
          <t>kWp</t>
        </is>
      </c>
      <c r="E11" s="80" t="inlineStr"/>
    </row>
    <row r="12">
      <c r="B12" s="4" t="inlineStr">
        <is>
          <t>Potencia AC dos 3 micros</t>
        </is>
      </c>
      <c r="C12" s="16" t="n">
        <v>6.75</v>
      </c>
      <c r="D12" s="2" t="inlineStr">
        <is>
          <t>kW</t>
        </is>
      </c>
      <c r="E12" s="80" t="inlineStr">
        <is>
          <t>3 x 2,25 kW</t>
        </is>
      </c>
    </row>
    <row r="13">
      <c r="B13" s="4" t="inlineStr">
        <is>
          <t>Relacao DC/AC com 12 modulos</t>
        </is>
      </c>
      <c r="C13" s="29">
        <f>C11/C12</f>
        <v/>
      </c>
      <c r="D13" s="2" t="inlineStr"/>
      <c r="E13" s="80" t="inlineStr">
        <is>
          <t>Ideal entre 1,10 e 1,30. Acima de 1,35 comeca a cortar geracao</t>
        </is>
      </c>
    </row>
    <row r="14">
      <c r="B14" s="4" t="inlineStr">
        <is>
          <t>Relacao DC/AC hoje, com 10 modulos</t>
        </is>
      </c>
      <c r="C14" s="29">
        <f>C6*MODULO!C6/1000/C12</f>
        <v/>
      </c>
      <c r="D14" s="2" t="inlineStr"/>
      <c r="E14" s="80" t="inlineStr">
        <is>
          <t>Abaixo de 1,10 significa inversor subaproveitado</t>
        </is>
      </c>
    </row>
    <row r="16">
      <c r="B16" s="4" t="inlineStr">
        <is>
          <t>Geracao extra por ano</t>
        </is>
      </c>
      <c r="C16" s="12">
        <f>C7*MODULO!C6/1000*GERACAO!$I$17</f>
        <v/>
      </c>
      <c r="D16" s="2" t="inlineStr">
        <is>
          <t>kWh/ano</t>
        </is>
      </c>
      <c r="E16" s="80" t="inlineStr">
        <is>
          <t>Usa a irradiacao real do seu telhado</t>
        </is>
      </c>
    </row>
    <row r="17">
      <c r="B17" s="4" t="inlineStr">
        <is>
          <t>Geracao extra por mes</t>
        </is>
      </c>
      <c r="C17" s="12">
        <f>C16/12</f>
        <v/>
      </c>
      <c r="D17" s="2" t="inlineStr">
        <is>
          <t>kWh/mes</t>
        </is>
      </c>
      <c r="E17" s="80" t="inlineStr"/>
    </row>
    <row r="18">
      <c r="B18" s="4" t="inlineStr">
        <is>
          <t>Economia por kWh compensado</t>
        </is>
      </c>
      <c r="C18" s="15">
        <f>ENTRADAS!C18-ENTRADAS!C25</f>
        <v/>
      </c>
      <c r="D18" s="2" t="inlineStr">
        <is>
          <t>R$/kWh</t>
        </is>
      </c>
      <c r="E18" s="80" t="inlineStr">
        <is>
          <t>Tarifa cheia menos o Fio B efetivo de 2026</t>
        </is>
      </c>
    </row>
    <row r="19">
      <c r="B19" s="21" t="inlineStr">
        <is>
          <t>ECONOMIA ANUAL DA EXPANSAO</t>
        </is>
      </c>
      <c r="C19" s="23">
        <f>C16*C18</f>
        <v/>
      </c>
      <c r="D19" s="2" t="inlineStr">
        <is>
          <t>R$/ano</t>
        </is>
      </c>
      <c r="E19" s="80" t="inlineStr"/>
    </row>
    <row r="21">
      <c r="B21" s="4" t="inlineStr">
        <is>
          <t>Custo de um modulo instalado</t>
        </is>
      </c>
      <c r="C21" s="15">
        <f>ENTRADAS!C54</f>
        <v/>
      </c>
      <c r="D21" s="2" t="inlineStr">
        <is>
          <t>R$/modulo</t>
        </is>
      </c>
      <c r="E21" s="80" t="inlineStr">
        <is>
          <t>Modulo + mao de obra marginal. A estrutura ja esta comprada</t>
        </is>
      </c>
    </row>
    <row r="22">
      <c r="B22" s="21" t="inlineStr">
        <is>
          <t>CUSTO TOTAL DA EXPANSAO</t>
        </is>
      </c>
      <c r="C22" s="35">
        <f>C7*C21</f>
        <v/>
      </c>
      <c r="D22" s="2" t="inlineStr">
        <is>
          <t>R$</t>
        </is>
      </c>
      <c r="E22" s="80" t="inlineStr"/>
    </row>
    <row r="23">
      <c r="B23" s="21" t="inlineStr">
        <is>
          <t>PAYBACK DA EXPANSAO</t>
        </is>
      </c>
      <c r="C23" s="66">
        <f>IFERROR(C22/C19*12,0)</f>
        <v/>
      </c>
      <c r="D23" s="2" t="inlineStr">
        <is>
          <t>meses</t>
        </is>
      </c>
      <c r="E23" s="80" t="inlineStr">
        <is>
          <t>Compare com o payback do sistema inteiro</t>
        </is>
      </c>
    </row>
    <row r="25">
      <c r="B25" s="4" t="inlineStr">
        <is>
          <t>Cobertura do objetivo com 10 modulos</t>
        </is>
      </c>
      <c r="C25" s="31">
        <f>IFERROR(GERACAO_REAL!D20/MEDIAS!C10,0)</f>
        <v/>
      </c>
      <c r="D25" s="2" t="inlineStr"/>
      <c r="E25" s="80" t="inlineStr">
        <is>
          <t>Casa + carro 100% eletrico</t>
        </is>
      </c>
    </row>
    <row r="26">
      <c r="B26" s="4" t="inlineStr">
        <is>
          <t>Cobertura do objetivo com 12 modulos</t>
        </is>
      </c>
      <c r="C26" s="140">
        <f>IFERROR(GERACAO_REAL!D20*(C6+C7)/C6/MEDIAS!C10,0)</f>
        <v/>
      </c>
      <c r="D26" s="2" t="inlineStr"/>
      <c r="E26" s="80" t="inlineStr">
        <is>
          <t>E a diferenca entre pagar conta para sempre e nao pagar</t>
        </is>
      </c>
    </row>
    <row r="29">
      <c r="B29" s="3" t="inlineStr">
        <is>
          <t>POR QUE ESTA E A MELHOR CONTA DO PROJETO:</t>
        </is>
      </c>
    </row>
    <row r="30">
      <c r="B30" s="4" t="inlineStr">
        <is>
          <t>Voce ja pagou pelos canais de MPPT (estao ociosos) e ja pagou pela estrutura (3 kits comportam 12 placas).</t>
        </is>
      </c>
    </row>
    <row r="31">
      <c r="B31" s="4" t="inlineStr">
        <is>
          <t>A expansao custa praticamente so o modulo e a mao de obra dele - sem inversor, sem projeto novo, sem estrutura nova.</t>
        </is>
      </c>
    </row>
    <row r="32">
      <c r="B32" s="4" t="inlineStr"/>
    </row>
    <row r="33">
      <c r="B33" s="5" t="inlineStr">
        <is>
          <t>ATENCAO 1: os perfis de aluminio comprados (24 m) atendem 10 modulos sem folga. Para 12 provavelmente falta trilho.</t>
        </is>
      </c>
    </row>
    <row r="34">
      <c r="B34" s="5" t="inlineStr">
        <is>
          <t>ATENCAO 2: aumentar a potencia depois de homologado exige NOVA solicitacao de acesso a Enel. Se a decisao for expandir,</t>
        </is>
      </c>
    </row>
    <row r="35">
      <c r="B35" s="4" t="inlineStr">
        <is>
          <t>o ideal e ja homologar com 12 modulos (7,80 kWp / 6,75 kW AC) de uma vez, e nao refazer o processo depois.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2" customWidth="1" min="6" max="6"/>
    <col width="62" customWidth="1" min="7" max="7"/>
  </cols>
  <sheetData>
    <row r="1">
      <c r="A1" s="1" t="inlineStr">
        <is>
          <t>MONITORAMENTO - APP DEYE CLOUD</t>
        </is>
      </c>
    </row>
    <row r="2">
      <c r="A2" s="2" t="inlineStr">
        <is>
          <t>Usina 'Henrique SP', Online/Normal, capacidade 6,50 kWp. Primeira leitura em 27/08/2026.</t>
        </is>
      </c>
    </row>
    <row r="4">
      <c r="B4" s="7" t="inlineStr">
        <is>
          <t>1) TESTE DE ORIENTACAO PELO PICO DE POTENCIA</t>
        </is>
      </c>
      <c r="C4" s="8" t="n"/>
      <c r="D4" s="8" t="n"/>
      <c r="E4" s="8" t="n"/>
      <c r="F4" s="8" t="n"/>
      <c r="G4" s="8" t="n"/>
    </row>
    <row r="5">
      <c r="B5" s="2" t="inlineStr">
        <is>
          <t>Um sistema NAO PODE gerar acima do teto de ceu limpo da sua orientacao. Nuvem so reduz, nunca aumenta.</t>
        </is>
      </c>
    </row>
    <row r="6">
      <c r="B6" s="2" t="inlineStr">
        <is>
          <t>Por isso o PICO e a prova, e a tarde nublada nao serve para julgar.</t>
        </is>
      </c>
    </row>
    <row r="7" ht="30" customHeight="1">
      <c r="B7" s="17" t="inlineStr">
        <is>
          <t>Orientacao do telhado (20 graus)</t>
        </is>
      </c>
      <c r="C7" s="17" t="inlineStr">
        <is>
          <t>Pico teorico</t>
        </is>
      </c>
      <c r="D7" s="17" t="inlineStr">
        <is>
          <t>Hora do pico</t>
        </is>
      </c>
      <c r="E7" s="17" t="inlineStr">
        <is>
          <t>Potencia as 12:30</t>
        </is>
      </c>
      <c r="F7" s="17" t="inlineStr">
        <is>
          <t>Bate?</t>
        </is>
      </c>
      <c r="G7" s="17" t="inlineStr">
        <is>
          <t>Comentario</t>
        </is>
      </c>
    </row>
    <row r="8">
      <c r="B8" s="18" t="inlineStr">
        <is>
          <t>SUDESTE (135 graus) - o declarado</t>
        </is>
      </c>
      <c r="C8" s="16" t="n">
        <v>3.8</v>
      </c>
      <c r="D8" s="18" t="inlineStr">
        <is>
          <t>11:00</t>
        </is>
      </c>
      <c r="E8" s="16" t="n">
        <v>3.51</v>
      </c>
      <c r="F8" s="115" t="inlineStr">
        <is>
          <t>NAO</t>
        </is>
      </c>
      <c r="G8" s="106" t="inlineStr">
        <is>
          <t>O pico medido de 5,2 kW e 37% ACIMA do teto fisico de um telhado Sudeste. Impossivel</t>
        </is>
      </c>
    </row>
    <row r="9">
      <c r="B9" s="18" t="inlineStr">
        <is>
          <t>NORTE (0 graus)</t>
        </is>
      </c>
      <c r="C9" s="16" t="n">
        <v>5.19</v>
      </c>
      <c r="D9" s="18" t="inlineStr">
        <is>
          <t>12:00</t>
        </is>
      </c>
      <c r="E9" s="16" t="n">
        <v>5.16</v>
      </c>
      <c r="F9" s="117" t="inlineStr">
        <is>
          <t>SIM</t>
        </is>
      </c>
      <c r="G9" s="106" t="inlineStr">
        <is>
          <t>Bate quase exatamente com os 5,2 kW medidos as 12:30</t>
        </is>
      </c>
    </row>
    <row r="10">
      <c r="B10" s="18" t="inlineStr">
        <is>
          <t>NOROESTE (315 graus)</t>
        </is>
      </c>
      <c r="C10" s="16" t="n">
        <v>5.04</v>
      </c>
      <c r="D10" s="18" t="inlineStr">
        <is>
          <t>13:00</t>
        </is>
      </c>
      <c r="E10" s="16" t="n">
        <v>5.02</v>
      </c>
      <c r="F10" s="117" t="inlineStr">
        <is>
          <t>SIM</t>
        </is>
      </c>
      <c r="G10" s="106" t="inlineStr">
        <is>
          <t>Tambem compativel. Um dia inteiro de ceu limpo separa Norte de Noroeste</t>
        </is>
      </c>
    </row>
    <row r="12">
      <c r="B12" s="21" t="inlineStr">
        <is>
          <t>PICO MEDIDO NO APP em 27/08/2026</t>
        </is>
      </c>
      <c r="C12" s="133" t="n">
        <v>5.2</v>
      </c>
      <c r="D12" s="21" t="inlineStr">
        <is>
          <t>~12:30</t>
        </is>
      </c>
    </row>
    <row r="13">
      <c r="B13" s="4" t="inlineStr">
        <is>
          <t>Pico em % da potencia nominal</t>
        </is>
      </c>
      <c r="C13" s="141">
        <f>IFERROR(C12/GERACAO_REAL!C4,0)</f>
        <v/>
      </c>
      <c r="G13" s="2" t="inlineStr">
        <is>
          <t>80% da nominal e praticamente o teto real de um sistema FV. Prova que os 10 modulos estao ligados e produzindo.</t>
        </is>
      </c>
    </row>
    <row r="15">
      <c r="B15" s="5" t="inlineStr">
        <is>
          <t>CONSEQUENCIA SE O TELHADO NAO FOR SUDESTE: a geracao anual sobe. Sudeste da 1.264 kWh por kWp ao ano;</t>
        </is>
      </c>
    </row>
    <row r="16">
      <c r="B16" s="4" t="inlineStr">
        <is>
          <t>Norte da 1.421. Sobre 6,50 kWp isso e a diferenca entre 8.218 e 9.238 kWh por ano - mais 12%.</t>
        </is>
      </c>
    </row>
    <row r="17">
      <c r="B17" s="4" t="inlineStr">
        <is>
          <t>A cobertura do objetivo (casa + carro 100% eletrico) iria de 88% para cerca de 98% com os mesmos 10 modulos.</t>
        </is>
      </c>
    </row>
    <row r="18">
      <c r="B18" s="4" t="inlineStr"/>
    </row>
    <row r="19">
      <c r="B19" s="4" t="inlineStr">
        <is>
          <t>RESSALVAS ANTES DE CONCLUIR: (a) so vimos meio dia - o sistema aparentemente foi energizado ao meio-dia;</t>
        </is>
      </c>
    </row>
    <row r="20">
      <c r="B20" s="4" t="inlineStr">
        <is>
          <t>(b) a inclinacao real pode nao ser 20 graus; (c) picos podem ser inflados por reflexo de nuvem (cloud enhancement),</t>
        </is>
      </c>
    </row>
    <row r="21">
      <c r="B21" s="4" t="inlineStr">
        <is>
          <t>efeito que costuma valer 10 a 30% - insuficiente para explicar os 37% de diferenca do Sudeste, mas nao e zero;</t>
        </is>
      </c>
    </row>
    <row r="22">
      <c r="B22" s="4" t="inlineStr">
        <is>
          <t>(d) os modulos podem estar divididos em mais de uma agua do telhado.</t>
        </is>
      </c>
    </row>
    <row r="23">
      <c r="B23" s="5" t="inlineStr">
        <is>
          <t>O TESTE DEFINITIVO E UM DIA INTEIRO DE CEU LIMPO: se o pico ficar perto do meio-dia e a curva for simetrica, e Norte.</t>
        </is>
      </c>
    </row>
    <row r="24">
      <c r="B24" s="4" t="inlineStr">
        <is>
          <t>Se o pico for as 11h com cerca de 3,8 kW e a tarde cair rapido, e Sudeste mesmo.</t>
        </is>
      </c>
    </row>
    <row r="26">
      <c r="B26" s="7" t="inlineStr">
        <is>
          <t>2) ACOMPANHAMENTO MENSAL - REAL x PREVISTO</t>
        </is>
      </c>
      <c r="C26" s="8" t="n"/>
      <c r="D26" s="8" t="n"/>
      <c r="E26" s="8" t="n"/>
      <c r="F26" s="8" t="n"/>
      <c r="G26" s="8" t="n"/>
    </row>
    <row r="27">
      <c r="B27" s="17" t="inlineStr">
        <is>
          <t>Mes</t>
        </is>
      </c>
      <c r="C27" s="17" t="inlineStr">
        <is>
          <t>PREVISTO (kWh)</t>
        </is>
      </c>
      <c r="D27" s="17" t="inlineStr">
        <is>
          <t>REAL do app (kWh)</t>
        </is>
      </c>
      <c r="E27" s="17" t="inlineStr">
        <is>
          <t>Diferenca</t>
        </is>
      </c>
      <c r="F27" s="17" t="inlineStr">
        <is>
          <t>% do previsto</t>
        </is>
      </c>
      <c r="G27" s="17" t="inlineStr">
        <is>
          <t>Observacao</t>
        </is>
      </c>
    </row>
    <row r="28">
      <c r="B28" s="18" t="inlineStr">
        <is>
          <t>Jan</t>
        </is>
      </c>
      <c r="C28" s="39">
        <f>GERACAO_REAL!D7</f>
        <v/>
      </c>
      <c r="D28" s="11" t="inlineStr"/>
      <c r="E28" s="39">
        <f>IF(D28="","",D28-C28)</f>
        <v/>
      </c>
      <c r="F28" s="136">
        <f>IF(D28="","",D28/C28)</f>
        <v/>
      </c>
      <c r="G28" s="9" t="inlineStr"/>
    </row>
    <row r="29">
      <c r="B29" s="18" t="inlineStr">
        <is>
          <t>Fev</t>
        </is>
      </c>
      <c r="C29" s="39">
        <f>GERACAO_REAL!D8</f>
        <v/>
      </c>
      <c r="D29" s="11" t="inlineStr"/>
      <c r="E29" s="39">
        <f>IF(D29="","",D29-C29)</f>
        <v/>
      </c>
      <c r="F29" s="136">
        <f>IF(D29="","",D29/C29)</f>
        <v/>
      </c>
      <c r="G29" s="9" t="inlineStr"/>
    </row>
    <row r="30">
      <c r="B30" s="18" t="inlineStr">
        <is>
          <t>Mar</t>
        </is>
      </c>
      <c r="C30" s="39">
        <f>GERACAO_REAL!D9</f>
        <v/>
      </c>
      <c r="D30" s="11" t="inlineStr"/>
      <c r="E30" s="39">
        <f>IF(D30="","",D30-C30)</f>
        <v/>
      </c>
      <c r="F30" s="136">
        <f>IF(D30="","",D30/C30)</f>
        <v/>
      </c>
      <c r="G30" s="9" t="inlineStr"/>
    </row>
    <row r="31">
      <c r="B31" s="18" t="inlineStr">
        <is>
          <t>Abr</t>
        </is>
      </c>
      <c r="C31" s="39">
        <f>GERACAO_REAL!D10</f>
        <v/>
      </c>
      <c r="D31" s="11" t="inlineStr"/>
      <c r="E31" s="39">
        <f>IF(D31="","",D31-C31)</f>
        <v/>
      </c>
      <c r="F31" s="136">
        <f>IF(D31="","",D31/C31)</f>
        <v/>
      </c>
      <c r="G31" s="9" t="inlineStr"/>
    </row>
    <row r="32">
      <c r="B32" s="18" t="inlineStr">
        <is>
          <t>Mai</t>
        </is>
      </c>
      <c r="C32" s="39">
        <f>GERACAO_REAL!D11</f>
        <v/>
      </c>
      <c r="D32" s="11" t="inlineStr"/>
      <c r="E32" s="39">
        <f>IF(D32="","",D32-C32)</f>
        <v/>
      </c>
      <c r="F32" s="136">
        <f>IF(D32="","",D32/C32)</f>
        <v/>
      </c>
      <c r="G32" s="9" t="inlineStr"/>
    </row>
    <row r="33">
      <c r="B33" s="18" t="inlineStr">
        <is>
          <t>Jun</t>
        </is>
      </c>
      <c r="C33" s="39">
        <f>GERACAO_REAL!D12</f>
        <v/>
      </c>
      <c r="D33" s="11" t="inlineStr"/>
      <c r="E33" s="39">
        <f>IF(D33="","",D33-C33)</f>
        <v/>
      </c>
      <c r="F33" s="136">
        <f>IF(D33="","",D33/C33)</f>
        <v/>
      </c>
      <c r="G33" s="9" t="inlineStr"/>
    </row>
    <row r="34">
      <c r="B34" s="18" t="inlineStr">
        <is>
          <t>Jul</t>
        </is>
      </c>
      <c r="C34" s="39">
        <f>GERACAO_REAL!D13</f>
        <v/>
      </c>
      <c r="D34" s="11" t="inlineStr"/>
      <c r="E34" s="39">
        <f>IF(D34="","",D34-C34)</f>
        <v/>
      </c>
      <c r="F34" s="136">
        <f>IF(D34="","",D34/C34)</f>
        <v/>
      </c>
      <c r="G34" s="9" t="inlineStr"/>
    </row>
    <row r="35">
      <c r="B35" s="18" t="inlineStr">
        <is>
          <t>Ago</t>
        </is>
      </c>
      <c r="C35" s="39">
        <f>GERACAO_REAL!D14</f>
        <v/>
      </c>
      <c r="D35" s="11" t="inlineStr"/>
      <c r="E35" s="39">
        <f>IF(D35="","",D35-C35)</f>
        <v/>
      </c>
      <c r="F35" s="136">
        <f>IF(D35="","",D35/C35)</f>
        <v/>
      </c>
      <c r="G35" s="9" t="inlineStr"/>
    </row>
    <row r="36">
      <c r="B36" s="18" t="inlineStr">
        <is>
          <t>Set</t>
        </is>
      </c>
      <c r="C36" s="39">
        <f>GERACAO_REAL!D15</f>
        <v/>
      </c>
      <c r="D36" s="11" t="inlineStr"/>
      <c r="E36" s="39">
        <f>IF(D36="","",D36-C36)</f>
        <v/>
      </c>
      <c r="F36" s="136">
        <f>IF(D36="","",D36/C36)</f>
        <v/>
      </c>
      <c r="G36" s="9" t="inlineStr"/>
    </row>
    <row r="37">
      <c r="B37" s="18" t="inlineStr">
        <is>
          <t>Out</t>
        </is>
      </c>
      <c r="C37" s="39">
        <f>GERACAO_REAL!D16</f>
        <v/>
      </c>
      <c r="D37" s="11" t="inlineStr"/>
      <c r="E37" s="39">
        <f>IF(D37="","",D37-C37)</f>
        <v/>
      </c>
      <c r="F37" s="136">
        <f>IF(D37="","",D37/C37)</f>
        <v/>
      </c>
      <c r="G37" s="9" t="inlineStr"/>
    </row>
    <row r="38">
      <c r="B38" s="18" t="inlineStr">
        <is>
          <t>Nov</t>
        </is>
      </c>
      <c r="C38" s="39">
        <f>GERACAO_REAL!D17</f>
        <v/>
      </c>
      <c r="D38" s="11" t="inlineStr"/>
      <c r="E38" s="39">
        <f>IF(D38="","",D38-C38)</f>
        <v/>
      </c>
      <c r="F38" s="136">
        <f>IF(D38="","",D38/C38)</f>
        <v/>
      </c>
      <c r="G38" s="9" t="inlineStr"/>
    </row>
    <row r="39">
      <c r="B39" s="18" t="inlineStr">
        <is>
          <t>Dez</t>
        </is>
      </c>
      <c r="C39" s="39">
        <f>GERACAO_REAL!D18</f>
        <v/>
      </c>
      <c r="D39" s="11" t="inlineStr"/>
      <c r="E39" s="39">
        <f>IF(D39="","",D39-C39)</f>
        <v/>
      </c>
      <c r="F39" s="136">
        <f>IF(D39="","",D39/C39)</f>
        <v/>
      </c>
      <c r="G39" s="9" t="inlineStr"/>
    </row>
    <row r="40">
      <c r="B40" s="21" t="inlineStr">
        <is>
          <t>ANO</t>
        </is>
      </c>
      <c r="C40" s="26">
        <f>SUM(C28:C39)</f>
        <v/>
      </c>
      <c r="D40" s="26">
        <f>SUM(D28:D39)</f>
        <v/>
      </c>
      <c r="F40" s="141">
        <f>IFERROR(D40/C40,0)</f>
        <v/>
      </c>
    </row>
    <row r="42">
      <c r="B42" s="4" t="inlineStr">
        <is>
          <t>COMO PREENCHER: no app Deye, aba Mes, anote o total de kWh e jogue na coluna amarela. Abaixo de 90% do previsto</t>
        </is>
      </c>
    </row>
    <row r="43">
      <c r="B43" s="4" t="inlineStr">
        <is>
          <t>por dois meses seguidos, investigue: sujeira nos modulos, sombra nova, micro offline ou modulo com defeito.</t>
        </is>
      </c>
    </row>
    <row r="44">
      <c r="B44" s="4" t="inlineStr"/>
    </row>
    <row r="45">
      <c r="B45" s="3" t="inlineStr">
        <is>
          <t>TRES TELAS QUE VALE ACOMPANHAR NO APP:</t>
        </is>
      </c>
    </row>
    <row r="46">
      <c r="B46" s="4" t="inlineStr">
        <is>
          <t xml:space="preserve">  - aba DISPOSITIVO: mostra os 3 microinversores separadamente. E aqui que voce confirma que os tres estao</t>
        </is>
      </c>
    </row>
    <row r="47">
      <c r="B47" s="4" t="inlineStr">
        <is>
          <t xml:space="preserve">    online e ve a producao MODULO A MODULO - o recurso pelo qual voce pagou ao escolher microinversor.</t>
        </is>
      </c>
    </row>
    <row r="48">
      <c r="B48" s="4" t="inlineStr">
        <is>
          <t xml:space="preserve">  - aba DIA: a curva. Compare o formato com o teste de orientacao acima.</t>
        </is>
      </c>
    </row>
    <row r="49">
      <c r="B49" s="4" t="inlineStr">
        <is>
          <t xml:space="preserve">  - aba TOTAL: energia acumulada desde a instalacao.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2026-08-27T20:54:20Z</dcterms:created>
  <dcterms:modified xsi:type="dcterms:W3CDTF">2026-08-27T20:54:20Z</dcterms:modified>
</cp:coreProperties>
</file>